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.bey\Documents\GitHub\homepage\Games\Booklets\Everspace 2\maps\01_Galaxy\"/>
    </mc:Choice>
  </mc:AlternateContent>
  <xr:revisionPtr revIDLastSave="0" documentId="13_ncr:1_{63B40B7F-9EB7-4B75-871D-6DF36B00514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ystem" sheetId="1" r:id="rId1"/>
    <sheet name="Ce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6" i="2" l="1"/>
  <c r="T76" i="2"/>
  <c r="R76" i="2"/>
  <c r="Q76" i="2"/>
  <c r="O76" i="2"/>
  <c r="N76" i="2"/>
  <c r="L76" i="2"/>
  <c r="K76" i="2"/>
  <c r="I76" i="2"/>
  <c r="H76" i="2"/>
  <c r="E77" i="2" s="1"/>
  <c r="U73" i="2"/>
  <c r="T73" i="2"/>
  <c r="R73" i="2"/>
  <c r="Q73" i="2"/>
  <c r="O73" i="2"/>
  <c r="N73" i="2"/>
  <c r="L73" i="2"/>
  <c r="K73" i="2"/>
  <c r="I73" i="2"/>
  <c r="H73" i="2"/>
  <c r="E74" i="2" s="1"/>
  <c r="U70" i="2"/>
  <c r="T70" i="2"/>
  <c r="R70" i="2"/>
  <c r="Q70" i="2"/>
  <c r="O70" i="2"/>
  <c r="N70" i="2"/>
  <c r="L70" i="2"/>
  <c r="K70" i="2"/>
  <c r="I70" i="2"/>
  <c r="H70" i="2"/>
  <c r="E71" i="2" s="1"/>
  <c r="U67" i="2"/>
  <c r="T67" i="2"/>
  <c r="R67" i="2"/>
  <c r="Q67" i="2"/>
  <c r="O67" i="2"/>
  <c r="N67" i="2"/>
  <c r="L67" i="2"/>
  <c r="K67" i="2"/>
  <c r="I67" i="2"/>
  <c r="H67" i="2"/>
  <c r="E68" i="2" s="1"/>
  <c r="U64" i="2"/>
  <c r="T64" i="2"/>
  <c r="R64" i="2"/>
  <c r="Q64" i="2"/>
  <c r="O64" i="2"/>
  <c r="N64" i="2"/>
  <c r="L64" i="2"/>
  <c r="K64" i="2"/>
  <c r="I64" i="2"/>
  <c r="H64" i="2"/>
  <c r="E65" i="2" s="1"/>
  <c r="U61" i="2"/>
  <c r="T61" i="2"/>
  <c r="R61" i="2"/>
  <c r="Q61" i="2"/>
  <c r="O61" i="2"/>
  <c r="N61" i="2"/>
  <c r="L61" i="2"/>
  <c r="K61" i="2"/>
  <c r="I61" i="2"/>
  <c r="H61" i="2"/>
  <c r="E62" i="2" s="1"/>
  <c r="U58" i="2"/>
  <c r="T58" i="2"/>
  <c r="R58" i="2"/>
  <c r="Q58" i="2"/>
  <c r="O58" i="2"/>
  <c r="N58" i="2"/>
  <c r="L58" i="2"/>
  <c r="K58" i="2"/>
  <c r="I58" i="2"/>
  <c r="H58" i="2"/>
  <c r="E59" i="2" s="1"/>
  <c r="U55" i="2"/>
  <c r="T55" i="2"/>
  <c r="R55" i="2"/>
  <c r="Q55" i="2"/>
  <c r="O55" i="2"/>
  <c r="N55" i="2"/>
  <c r="L55" i="2"/>
  <c r="K55" i="2"/>
  <c r="I55" i="2"/>
  <c r="H55" i="2"/>
  <c r="E56" i="2" s="1"/>
  <c r="U52" i="2"/>
  <c r="T52" i="2"/>
  <c r="R52" i="2"/>
  <c r="Q52" i="2"/>
  <c r="O52" i="2"/>
  <c r="N52" i="2"/>
  <c r="L52" i="2"/>
  <c r="K52" i="2"/>
  <c r="I52" i="2"/>
  <c r="H52" i="2"/>
  <c r="U49" i="2"/>
  <c r="T49" i="2"/>
  <c r="R49" i="2"/>
  <c r="Q49" i="2"/>
  <c r="O49" i="2"/>
  <c r="N49" i="2"/>
  <c r="L49" i="2"/>
  <c r="K49" i="2"/>
  <c r="I49" i="2"/>
  <c r="H49" i="2"/>
  <c r="U46" i="2"/>
  <c r="T46" i="2"/>
  <c r="R46" i="2"/>
  <c r="Q46" i="2"/>
  <c r="O46" i="2"/>
  <c r="N46" i="2"/>
  <c r="L46" i="2"/>
  <c r="K46" i="2"/>
  <c r="I46" i="2"/>
  <c r="H46" i="2"/>
  <c r="E47" i="2" s="1"/>
  <c r="U43" i="2"/>
  <c r="T43" i="2"/>
  <c r="R43" i="2"/>
  <c r="Q43" i="2"/>
  <c r="O43" i="2"/>
  <c r="N43" i="2"/>
  <c r="L43" i="2"/>
  <c r="K43" i="2"/>
  <c r="I43" i="2"/>
  <c r="H43" i="2"/>
  <c r="E44" i="2" s="1"/>
  <c r="U39" i="2"/>
  <c r="T39" i="2"/>
  <c r="R39" i="2"/>
  <c r="Q39" i="2"/>
  <c r="O39" i="2"/>
  <c r="N39" i="2"/>
  <c r="L39" i="2"/>
  <c r="K39" i="2"/>
  <c r="I39" i="2"/>
  <c r="H39" i="2"/>
  <c r="I3" i="2"/>
  <c r="I30" i="2"/>
  <c r="U36" i="2"/>
  <c r="T36" i="2"/>
  <c r="R36" i="2"/>
  <c r="Q36" i="2"/>
  <c r="O36" i="2"/>
  <c r="N36" i="2"/>
  <c r="L36" i="2"/>
  <c r="K36" i="2"/>
  <c r="I36" i="2"/>
  <c r="H36" i="2"/>
  <c r="U33" i="2"/>
  <c r="T33" i="2"/>
  <c r="R33" i="2"/>
  <c r="Q33" i="2"/>
  <c r="O33" i="2"/>
  <c r="N33" i="2"/>
  <c r="L33" i="2"/>
  <c r="K33" i="2"/>
  <c r="I33" i="2"/>
  <c r="H33" i="2"/>
  <c r="E34" i="2" s="1"/>
  <c r="U30" i="2"/>
  <c r="T30" i="2"/>
  <c r="R30" i="2"/>
  <c r="Q30" i="2"/>
  <c r="O30" i="2"/>
  <c r="N30" i="2"/>
  <c r="L30" i="2"/>
  <c r="K30" i="2"/>
  <c r="H30" i="2"/>
  <c r="U27" i="2"/>
  <c r="T27" i="2"/>
  <c r="R27" i="2"/>
  <c r="Q27" i="2"/>
  <c r="O27" i="2"/>
  <c r="N27" i="2"/>
  <c r="L27" i="2"/>
  <c r="K27" i="2"/>
  <c r="I27" i="2"/>
  <c r="H27" i="2"/>
  <c r="U24" i="2"/>
  <c r="T24" i="2"/>
  <c r="R24" i="2"/>
  <c r="Q24" i="2"/>
  <c r="O24" i="2"/>
  <c r="N24" i="2"/>
  <c r="L24" i="2"/>
  <c r="K24" i="2"/>
  <c r="I24" i="2"/>
  <c r="H24" i="2"/>
  <c r="U21" i="2"/>
  <c r="T21" i="2"/>
  <c r="R21" i="2"/>
  <c r="Q21" i="2"/>
  <c r="O21" i="2"/>
  <c r="N21" i="2"/>
  <c r="L21" i="2"/>
  <c r="K21" i="2"/>
  <c r="I21" i="2"/>
  <c r="H21" i="2"/>
  <c r="E22" i="2" s="1"/>
  <c r="U18" i="2"/>
  <c r="T18" i="2"/>
  <c r="R18" i="2"/>
  <c r="Q18" i="2"/>
  <c r="O18" i="2"/>
  <c r="E19" i="2" s="1"/>
  <c r="N18" i="2"/>
  <c r="L18" i="2"/>
  <c r="K18" i="2"/>
  <c r="I18" i="2"/>
  <c r="U15" i="2"/>
  <c r="T15" i="2"/>
  <c r="R15" i="2"/>
  <c r="Q15" i="2"/>
  <c r="O15" i="2"/>
  <c r="N15" i="2"/>
  <c r="L15" i="2"/>
  <c r="K15" i="2"/>
  <c r="I15" i="2"/>
  <c r="H15" i="2"/>
  <c r="E16" i="2" s="1"/>
  <c r="U12" i="2"/>
  <c r="T12" i="2"/>
  <c r="R12" i="2"/>
  <c r="Q12" i="2"/>
  <c r="O12" i="2"/>
  <c r="N12" i="2"/>
  <c r="L12" i="2"/>
  <c r="K12" i="2"/>
  <c r="I12" i="2"/>
  <c r="H12" i="2"/>
  <c r="U9" i="2"/>
  <c r="T9" i="2"/>
  <c r="R9" i="2"/>
  <c r="Q9" i="2"/>
  <c r="O9" i="2"/>
  <c r="N9" i="2"/>
  <c r="L9" i="2"/>
  <c r="K9" i="2"/>
  <c r="I9" i="2"/>
  <c r="H9" i="2"/>
  <c r="E10" i="2" s="1"/>
  <c r="U6" i="2"/>
  <c r="T6" i="2"/>
  <c r="R6" i="2"/>
  <c r="Q6" i="2"/>
  <c r="O6" i="2"/>
  <c r="N6" i="2"/>
  <c r="L6" i="2"/>
  <c r="K6" i="2"/>
  <c r="I6" i="2"/>
  <c r="H6" i="2"/>
  <c r="E7" i="2" s="1"/>
  <c r="U3" i="2"/>
  <c r="T3" i="2"/>
  <c r="Q3" i="2"/>
  <c r="O3" i="2"/>
  <c r="K3" i="2"/>
  <c r="R3" i="2"/>
  <c r="L3" i="2"/>
  <c r="N3" i="2"/>
  <c r="H3" i="2"/>
  <c r="G12" i="1"/>
  <c r="F12" i="1"/>
  <c r="E12" i="1"/>
  <c r="D12" i="1"/>
  <c r="G11" i="1"/>
  <c r="F11" i="1"/>
  <c r="E11" i="1"/>
  <c r="D11" i="1"/>
  <c r="G10" i="1"/>
  <c r="F10" i="1"/>
  <c r="E10" i="1"/>
  <c r="D10" i="1"/>
  <c r="G9" i="1"/>
  <c r="F9" i="1"/>
  <c r="E9" i="1"/>
  <c r="D9" i="1"/>
  <c r="G8" i="1"/>
  <c r="F8" i="1"/>
  <c r="E8" i="1"/>
  <c r="D8" i="1"/>
  <c r="G7" i="1"/>
  <c r="F7" i="1"/>
  <c r="E7" i="1"/>
  <c r="D7" i="1"/>
  <c r="G6" i="1"/>
  <c r="F6" i="1"/>
  <c r="E6" i="1"/>
  <c r="D6" i="1"/>
  <c r="G5" i="1"/>
  <c r="F5" i="1"/>
  <c r="E5" i="1"/>
  <c r="D5" i="1"/>
  <c r="G4" i="1"/>
  <c r="F4" i="1"/>
  <c r="E4" i="1"/>
  <c r="D4" i="1"/>
  <c r="G3" i="1"/>
  <c r="F3" i="1"/>
  <c r="E3" i="1"/>
  <c r="D3" i="1"/>
  <c r="E40" i="2" l="1"/>
  <c r="E50" i="2"/>
  <c r="E53" i="2"/>
  <c r="E25" i="2"/>
  <c r="E37" i="2"/>
  <c r="E31" i="2"/>
  <c r="E28" i="2"/>
  <c r="E13" i="2"/>
  <c r="E4" i="2"/>
</calcChain>
</file>

<file path=xl/sharedStrings.xml><?xml version="1.0" encoding="utf-8"?>
<sst xmlns="http://schemas.openxmlformats.org/spreadsheetml/2006/main" count="55" uniqueCount="51">
  <si>
    <t>AETHON</t>
  </si>
  <si>
    <t>System</t>
  </si>
  <si>
    <t>Text-X</t>
  </si>
  <si>
    <t>Text-Y</t>
  </si>
  <si>
    <t>Image-X</t>
  </si>
  <si>
    <t>Image-Y</t>
  </si>
  <si>
    <t>KHIONE</t>
  </si>
  <si>
    <t>DRAKE</t>
  </si>
  <si>
    <t>UNION</t>
  </si>
  <si>
    <t>ZHARKOV</t>
  </si>
  <si>
    <t>USHAK SANCTUARY</t>
  </si>
  <si>
    <t>CETO</t>
  </si>
  <si>
    <t>KHAIT NEBULA</t>
  </si>
  <si>
    <t>KHAIT DOMINION</t>
  </si>
  <si>
    <t>RHAK HOMEWORLDS</t>
  </si>
  <si>
    <t>Path-X</t>
  </si>
  <si>
    <t>Path-Y</t>
  </si>
  <si>
    <t>Sector</t>
  </si>
  <si>
    <t>Poly 1</t>
  </si>
  <si>
    <t>Poly 2</t>
  </si>
  <si>
    <t>Poly 3</t>
  </si>
  <si>
    <t>Poly 4</t>
  </si>
  <si>
    <t>Poly 5</t>
  </si>
  <si>
    <t>Poly 6</t>
  </si>
  <si>
    <t>Poly 7</t>
  </si>
  <si>
    <t>Poly 8</t>
  </si>
  <si>
    <t>Größe</t>
  </si>
  <si>
    <t>Center-X</t>
  </si>
  <si>
    <t>Center-Y</t>
  </si>
  <si>
    <t>BERGBAU-RUINE</t>
  </si>
  <si>
    <t>CETO OUTER RIM</t>
  </si>
  <si>
    <t>RHODIA ORBIT</t>
  </si>
  <si>
    <t>RHODIA II</t>
  </si>
  <si>
    <t>UNION BRIDGE</t>
  </si>
  <si>
    <t>SCHIFFSWRACK</t>
  </si>
  <si>
    <t>OUTLAW GRENZLAND</t>
  </si>
  <si>
    <t>ASTEROIDENFELD</t>
  </si>
  <si>
    <t>VERLASSENE</t>
  </si>
  <si>
    <t>STATION</t>
  </si>
  <si>
    <t>OUTLAW</t>
  </si>
  <si>
    <t>AUSSENPOSTEN</t>
  </si>
  <si>
    <t>ZERSTÖRTE</t>
  </si>
  <si>
    <t>FÖRDERSTATION</t>
  </si>
  <si>
    <t>PALAEMONS WUNDE</t>
  </si>
  <si>
    <t>GEISTERFLOTTE</t>
  </si>
  <si>
    <t>OUTLAW-BASIS</t>
  </si>
  <si>
    <t>MEER DER SIRENEN</t>
  </si>
  <si>
    <t>CETO ORBIT</t>
  </si>
  <si>
    <t>FÖRDERSTÄTTE</t>
  </si>
  <si>
    <t>ALKIONE-STATION</t>
  </si>
  <si>
    <t>VERLASSENE ANLAGE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</si>
</sst>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view="pageLayout" zoomScaleNormal="100" workbookViewId="0"/>
  </sheetViews>
  <sheetFormatPr baseColWidth="10" defaultColWidth="9.140625" defaultRowHeight="15" x14ac:dyDescent="0.25"/>
  <cols>
    <col min="1" max="1" width="20.28515625" style="2" customWidth="1"/>
    <col min="2" max="7" width="10.140625" style="2" customWidth="1"/>
    <col min="8" max="20" width="9.140625" style="2"/>
  </cols>
  <sheetData>
    <row r="1" spans="1:7" x14ac:dyDescent="0.25">
      <c r="A1" s="2" t="s">
        <v>17</v>
      </c>
      <c r="B1" s="2" t="s">
        <v>4</v>
      </c>
      <c r="C1" s="2" t="s">
        <v>5</v>
      </c>
      <c r="D1" s="2" t="s">
        <v>2</v>
      </c>
      <c r="E1" s="2" t="s">
        <v>3</v>
      </c>
      <c r="F1" s="2" t="s">
        <v>15</v>
      </c>
      <c r="G1" s="2" t="s">
        <v>16</v>
      </c>
    </row>
    <row r="2" spans="1:7" ht="8.4499999999999993" customHeight="1" x14ac:dyDescent="0.25"/>
    <row r="3" spans="1:7" x14ac:dyDescent="0.25">
      <c r="A3" s="1" t="s">
        <v>0</v>
      </c>
      <c r="B3" s="2">
        <v>281</v>
      </c>
      <c r="C3" s="2">
        <v>112</v>
      </c>
      <c r="D3" s="2">
        <f>B3+40</f>
        <v>321</v>
      </c>
      <c r="E3" s="2">
        <f>C3+94</f>
        <v>206</v>
      </c>
      <c r="F3" s="2">
        <f>B3+40</f>
        <v>321</v>
      </c>
      <c r="G3" s="2">
        <f>C3+40</f>
        <v>152</v>
      </c>
    </row>
    <row r="4" spans="1:7" x14ac:dyDescent="0.25">
      <c r="A4" s="2" t="s">
        <v>6</v>
      </c>
      <c r="B4" s="2">
        <v>698</v>
      </c>
      <c r="C4" s="2">
        <v>100</v>
      </c>
      <c r="D4" s="2">
        <f t="shared" ref="D4:D12" si="0">B4+40</f>
        <v>738</v>
      </c>
      <c r="E4" s="2">
        <f t="shared" ref="E4:E12" si="1">C4+94</f>
        <v>194</v>
      </c>
      <c r="F4" s="2">
        <f t="shared" ref="F4:G12" si="2">B4+40</f>
        <v>738</v>
      </c>
      <c r="G4" s="2">
        <f t="shared" si="2"/>
        <v>140</v>
      </c>
    </row>
    <row r="5" spans="1:7" x14ac:dyDescent="0.25">
      <c r="A5" s="2" t="s">
        <v>7</v>
      </c>
      <c r="B5" s="2">
        <v>42</v>
      </c>
      <c r="C5" s="2">
        <v>459</v>
      </c>
      <c r="D5" s="2">
        <f t="shared" si="0"/>
        <v>82</v>
      </c>
      <c r="E5" s="2">
        <f t="shared" si="1"/>
        <v>553</v>
      </c>
      <c r="F5" s="2">
        <f t="shared" si="2"/>
        <v>82</v>
      </c>
      <c r="G5" s="2">
        <f t="shared" si="2"/>
        <v>499</v>
      </c>
    </row>
    <row r="6" spans="1:7" x14ac:dyDescent="0.25">
      <c r="A6" s="2" t="s">
        <v>8</v>
      </c>
      <c r="B6" s="2">
        <v>426</v>
      </c>
      <c r="C6" s="2">
        <v>484</v>
      </c>
      <c r="D6" s="2">
        <f t="shared" si="0"/>
        <v>466</v>
      </c>
      <c r="E6" s="2">
        <f t="shared" si="1"/>
        <v>578</v>
      </c>
      <c r="F6" s="2">
        <f t="shared" si="2"/>
        <v>466</v>
      </c>
      <c r="G6" s="2">
        <f t="shared" si="2"/>
        <v>524</v>
      </c>
    </row>
    <row r="7" spans="1:7" x14ac:dyDescent="0.25">
      <c r="A7" s="2" t="s">
        <v>9</v>
      </c>
      <c r="B7" s="2">
        <v>861</v>
      </c>
      <c r="C7" s="2">
        <v>438</v>
      </c>
      <c r="D7" s="2">
        <f t="shared" si="0"/>
        <v>901</v>
      </c>
      <c r="E7" s="2">
        <f t="shared" si="1"/>
        <v>532</v>
      </c>
      <c r="F7" s="2">
        <f t="shared" si="2"/>
        <v>901</v>
      </c>
      <c r="G7" s="2">
        <f t="shared" si="2"/>
        <v>478</v>
      </c>
    </row>
    <row r="8" spans="1:7" x14ac:dyDescent="0.25">
      <c r="A8" s="2" t="s">
        <v>10</v>
      </c>
      <c r="B8" s="2">
        <v>1412</v>
      </c>
      <c r="C8" s="2">
        <v>227</v>
      </c>
      <c r="D8" s="2">
        <f t="shared" si="0"/>
        <v>1452</v>
      </c>
      <c r="E8" s="2">
        <f t="shared" si="1"/>
        <v>321</v>
      </c>
      <c r="F8" s="2">
        <f t="shared" si="2"/>
        <v>1452</v>
      </c>
      <c r="G8" s="2">
        <f t="shared" si="2"/>
        <v>267</v>
      </c>
    </row>
    <row r="9" spans="1:7" x14ac:dyDescent="0.25">
      <c r="A9" s="2" t="s">
        <v>11</v>
      </c>
      <c r="B9" s="2">
        <v>266</v>
      </c>
      <c r="C9" s="2">
        <v>922</v>
      </c>
      <c r="D9" s="2">
        <f t="shared" si="0"/>
        <v>306</v>
      </c>
      <c r="E9" s="2">
        <f t="shared" si="1"/>
        <v>1016</v>
      </c>
      <c r="F9" s="2">
        <f t="shared" si="2"/>
        <v>306</v>
      </c>
      <c r="G9" s="2">
        <f t="shared" si="2"/>
        <v>962</v>
      </c>
    </row>
    <row r="10" spans="1:7" x14ac:dyDescent="0.25">
      <c r="A10" s="2" t="s">
        <v>12</v>
      </c>
      <c r="B10" s="2">
        <v>912</v>
      </c>
      <c r="C10" s="2">
        <v>826</v>
      </c>
      <c r="D10" s="2">
        <f t="shared" si="0"/>
        <v>952</v>
      </c>
      <c r="E10" s="2">
        <f t="shared" si="1"/>
        <v>920</v>
      </c>
      <c r="F10" s="2">
        <f t="shared" si="2"/>
        <v>952</v>
      </c>
      <c r="G10" s="2">
        <f t="shared" si="2"/>
        <v>866</v>
      </c>
    </row>
    <row r="11" spans="1:7" x14ac:dyDescent="0.25">
      <c r="A11" s="2" t="s">
        <v>13</v>
      </c>
      <c r="B11" s="2">
        <v>1286</v>
      </c>
      <c r="C11" s="2">
        <v>755</v>
      </c>
      <c r="D11" s="2">
        <f t="shared" si="0"/>
        <v>1326</v>
      </c>
      <c r="E11" s="2">
        <f t="shared" si="1"/>
        <v>849</v>
      </c>
      <c r="F11" s="2">
        <f t="shared" si="2"/>
        <v>1326</v>
      </c>
      <c r="G11" s="2">
        <f t="shared" si="2"/>
        <v>795</v>
      </c>
    </row>
    <row r="12" spans="1:7" x14ac:dyDescent="0.25">
      <c r="A12" s="2" t="s">
        <v>14</v>
      </c>
      <c r="B12" s="2">
        <v>1504</v>
      </c>
      <c r="C12" s="2">
        <v>498</v>
      </c>
      <c r="D12" s="2">
        <f t="shared" si="0"/>
        <v>1544</v>
      </c>
      <c r="E12" s="2">
        <f t="shared" si="1"/>
        <v>592</v>
      </c>
      <c r="F12" s="2">
        <f t="shared" si="2"/>
        <v>1544</v>
      </c>
      <c r="G12" s="2">
        <f t="shared" si="2"/>
        <v>538</v>
      </c>
    </row>
  </sheetData>
  <pageMargins left="0.7" right="0.7" top="0.75" bottom="0.75" header="0.3" footer="0.3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B509-92C9-4A57-86A0-0F98D157BAD0}">
  <dimension ref="A1:Y77"/>
  <sheetViews>
    <sheetView tabSelected="1" view="pageLayout" topLeftCell="A44" zoomScaleNormal="100" workbookViewId="0">
      <selection activeCell="E62" sqref="E62:R62"/>
    </sheetView>
  </sheetViews>
  <sheetFormatPr baseColWidth="10" defaultColWidth="9.140625" defaultRowHeight="15" x14ac:dyDescent="0.25"/>
  <cols>
    <col min="1" max="1" width="20.28515625" style="2" customWidth="1"/>
    <col min="2" max="2" width="1" style="2" customWidth="1"/>
    <col min="3" max="3" width="6" style="2" customWidth="1"/>
    <col min="4" max="4" width="1" style="2" customWidth="1"/>
    <col min="5" max="6" width="8" style="2" customWidth="1"/>
    <col min="7" max="7" width="1" style="2" customWidth="1"/>
    <col min="8" max="9" width="8" style="2" customWidth="1"/>
    <col min="10" max="10" width="1" style="2" customWidth="1"/>
    <col min="11" max="12" width="8" style="2" customWidth="1"/>
    <col min="13" max="13" width="1" style="2" customWidth="1"/>
    <col min="14" max="15" width="8" style="2" customWidth="1"/>
    <col min="16" max="16" width="1" style="2" customWidth="1"/>
    <col min="17" max="18" width="8" style="2" customWidth="1"/>
    <col min="19" max="19" width="1" style="2" customWidth="1"/>
    <col min="20" max="21" width="8" style="2" customWidth="1"/>
    <col min="22" max="22" width="1" style="2" customWidth="1"/>
    <col min="23" max="25" width="9.140625" style="2"/>
  </cols>
  <sheetData>
    <row r="1" spans="1:21" x14ac:dyDescent="0.25">
      <c r="A1" s="2" t="s">
        <v>1</v>
      </c>
      <c r="C1" s="2" t="s">
        <v>26</v>
      </c>
      <c r="E1" s="2" t="s">
        <v>27</v>
      </c>
      <c r="F1" s="2" t="s">
        <v>28</v>
      </c>
      <c r="H1" s="2" t="s">
        <v>18</v>
      </c>
      <c r="I1" s="2" t="s">
        <v>19</v>
      </c>
      <c r="K1" s="2" t="s">
        <v>20</v>
      </c>
      <c r="L1" s="2" t="s">
        <v>21</v>
      </c>
      <c r="N1" s="2" t="s">
        <v>22</v>
      </c>
      <c r="O1" s="2" t="s">
        <v>23</v>
      </c>
      <c r="Q1" s="2" t="s">
        <v>24</v>
      </c>
      <c r="R1" s="2" t="s">
        <v>25</v>
      </c>
      <c r="T1" s="2" t="s">
        <v>2</v>
      </c>
      <c r="U1" s="2" t="s">
        <v>3</v>
      </c>
    </row>
    <row r="2" spans="1:21" ht="8.4499999999999993" customHeight="1" x14ac:dyDescent="0.25"/>
    <row r="3" spans="1:21" s="2" customFormat="1" x14ac:dyDescent="0.25">
      <c r="A3" s="1" t="s">
        <v>29</v>
      </c>
      <c r="B3" s="1"/>
      <c r="C3" s="1">
        <v>40</v>
      </c>
      <c r="D3" s="1"/>
      <c r="E3" s="2">
        <v>580</v>
      </c>
      <c r="F3" s="2">
        <v>120</v>
      </c>
      <c r="H3" s="2">
        <f>E3</f>
        <v>580</v>
      </c>
      <c r="I3" s="2">
        <f>F3-(C3/2)</f>
        <v>100</v>
      </c>
      <c r="K3" s="2">
        <f>E3+(C3/2)</f>
        <v>600</v>
      </c>
      <c r="L3" s="2">
        <f>F3</f>
        <v>120</v>
      </c>
      <c r="N3" s="2">
        <f>E3</f>
        <v>580</v>
      </c>
      <c r="O3" s="2">
        <f>F3+(C3/2)</f>
        <v>140</v>
      </c>
      <c r="Q3" s="2">
        <f>E3-(C3/2)</f>
        <v>560</v>
      </c>
      <c r="R3" s="2">
        <f>F3</f>
        <v>120</v>
      </c>
      <c r="T3" s="2">
        <f>E3</f>
        <v>580</v>
      </c>
      <c r="U3" s="2">
        <f>F3+C3</f>
        <v>160</v>
      </c>
    </row>
    <row r="4" spans="1:21" s="2" customFormat="1" x14ac:dyDescent="0.25">
      <c r="A4" s="1"/>
      <c r="B4" s="1"/>
      <c r="C4" s="1"/>
      <c r="D4" s="1"/>
      <c r="E4" s="4" t="str">
        <f>H3&amp;","&amp;I3&amp;" "&amp;K3&amp;","&amp;L3&amp;" "&amp;N3&amp;","&amp;O3&amp;" "&amp;Q3&amp;","&amp;R3</f>
        <v>580,100 600,120 580,140 560,120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21" s="2" customFormat="1" ht="5.85" customHeight="1" x14ac:dyDescent="0.25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21" s="2" customFormat="1" x14ac:dyDescent="0.25">
      <c r="A6" s="1" t="s">
        <v>30</v>
      </c>
      <c r="B6" s="1"/>
      <c r="C6" s="1">
        <v>40</v>
      </c>
      <c r="D6" s="1"/>
      <c r="E6" s="2">
        <v>520</v>
      </c>
      <c r="F6" s="2">
        <v>180</v>
      </c>
      <c r="H6" s="2">
        <f>E6</f>
        <v>520</v>
      </c>
      <c r="I6" s="2">
        <f>F6-(C6/2)</f>
        <v>160</v>
      </c>
      <c r="K6" s="2">
        <f>E6+(C6/2)</f>
        <v>540</v>
      </c>
      <c r="L6" s="2">
        <f>F6</f>
        <v>180</v>
      </c>
      <c r="N6" s="2">
        <f>E6</f>
        <v>520</v>
      </c>
      <c r="O6" s="2">
        <f>F6+(C6/2)</f>
        <v>200</v>
      </c>
      <c r="Q6" s="2">
        <f>E6-(C6/2)</f>
        <v>500</v>
      </c>
      <c r="R6" s="2">
        <f>F6</f>
        <v>180</v>
      </c>
      <c r="T6" s="2">
        <f>E6</f>
        <v>520</v>
      </c>
      <c r="U6" s="2">
        <f>F6+C6</f>
        <v>220</v>
      </c>
    </row>
    <row r="7" spans="1:21" s="2" customFormat="1" x14ac:dyDescent="0.25">
      <c r="A7" s="1"/>
      <c r="B7" s="1"/>
      <c r="C7" s="1"/>
      <c r="D7" s="1"/>
      <c r="E7" s="4" t="str">
        <f>H6&amp;","&amp;I6&amp;" "&amp;K6&amp;","&amp;L6&amp;" "&amp;N6&amp;","&amp;O6&amp;" "&amp;Q6&amp;","&amp;R6</f>
        <v>520,160 540,180 520,200 500,180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21" s="2" customFormat="1" ht="5.85" customHeight="1" x14ac:dyDescent="0.25"/>
    <row r="9" spans="1:21" s="2" customFormat="1" x14ac:dyDescent="0.25">
      <c r="A9" s="1" t="s">
        <v>31</v>
      </c>
      <c r="B9" s="1"/>
      <c r="C9" s="1">
        <v>40</v>
      </c>
      <c r="D9" s="1"/>
      <c r="E9" s="2">
        <v>700</v>
      </c>
      <c r="F9" s="2">
        <v>140</v>
      </c>
      <c r="H9" s="2">
        <f>E9</f>
        <v>700</v>
      </c>
      <c r="I9" s="2">
        <f>F9-(C9/2)</f>
        <v>120</v>
      </c>
      <c r="K9" s="2">
        <f>E9+(C9/2)</f>
        <v>720</v>
      </c>
      <c r="L9" s="2">
        <f>F9</f>
        <v>140</v>
      </c>
      <c r="N9" s="2">
        <f>E9</f>
        <v>700</v>
      </c>
      <c r="O9" s="2">
        <f>F9+(C9/2)</f>
        <v>160</v>
      </c>
      <c r="Q9" s="2">
        <f>E9-(C9/2)</f>
        <v>680</v>
      </c>
      <c r="R9" s="2">
        <f>F9</f>
        <v>140</v>
      </c>
      <c r="T9" s="2">
        <f>E9</f>
        <v>700</v>
      </c>
      <c r="U9" s="2">
        <f>F9+C9</f>
        <v>180</v>
      </c>
    </row>
    <row r="10" spans="1:21" s="2" customFormat="1" x14ac:dyDescent="0.25">
      <c r="A10" s="1"/>
      <c r="B10" s="1"/>
      <c r="C10" s="1"/>
      <c r="D10" s="1"/>
      <c r="E10" s="4" t="str">
        <f>H9&amp;","&amp;I9&amp;" "&amp;K9&amp;","&amp;L9&amp;" "&amp;N9&amp;","&amp;O9&amp;" "&amp;Q9&amp;","&amp;R9</f>
        <v>700,120 720,140 700,160 680,140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21" s="2" customFormat="1" ht="5.85" customHeight="1" x14ac:dyDescent="0.25"/>
    <row r="12" spans="1:21" s="2" customFormat="1" x14ac:dyDescent="0.25">
      <c r="A12" s="1" t="s">
        <v>32</v>
      </c>
      <c r="B12" s="1"/>
      <c r="C12" s="1">
        <v>40</v>
      </c>
      <c r="D12" s="1"/>
      <c r="E12" s="2">
        <v>760</v>
      </c>
      <c r="F12" s="2">
        <v>200</v>
      </c>
      <c r="H12" s="2">
        <f>E12</f>
        <v>760</v>
      </c>
      <c r="I12" s="2">
        <f>F12-(C12/2)</f>
        <v>180</v>
      </c>
      <c r="K12" s="2">
        <f>E12+(C12/2)</f>
        <v>780</v>
      </c>
      <c r="L12" s="2">
        <f>F12</f>
        <v>200</v>
      </c>
      <c r="N12" s="2">
        <f>E12</f>
        <v>760</v>
      </c>
      <c r="O12" s="2">
        <f>F12+(C12/2)</f>
        <v>220</v>
      </c>
      <c r="Q12" s="2">
        <f>E12-(C12/2)</f>
        <v>740</v>
      </c>
      <c r="R12" s="2">
        <f>F12</f>
        <v>200</v>
      </c>
      <c r="T12" s="2">
        <f>E12</f>
        <v>760</v>
      </c>
      <c r="U12" s="2">
        <f>F12+C12</f>
        <v>240</v>
      </c>
    </row>
    <row r="13" spans="1:21" s="2" customFormat="1" x14ac:dyDescent="0.25">
      <c r="A13" s="1"/>
      <c r="B13" s="1"/>
      <c r="C13" s="1"/>
      <c r="D13" s="1"/>
      <c r="E13" s="4" t="str">
        <f>H12&amp;","&amp;I12&amp;" "&amp;K12&amp;","&amp;L12&amp;" "&amp;N12&amp;","&amp;O12&amp;" "&amp;Q12&amp;","&amp;R12</f>
        <v>760,180 780,200 760,220 740,200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21" s="2" customFormat="1" ht="5.85" customHeight="1" x14ac:dyDescent="0.25"/>
    <row r="15" spans="1:21" x14ac:dyDescent="0.25">
      <c r="A15" s="1" t="s">
        <v>33</v>
      </c>
      <c r="B15" s="1"/>
      <c r="C15" s="1">
        <v>40</v>
      </c>
      <c r="D15" s="1"/>
      <c r="E15" s="2">
        <v>790</v>
      </c>
      <c r="F15" s="2">
        <v>300</v>
      </c>
      <c r="H15" s="2">
        <f>E15</f>
        <v>790</v>
      </c>
      <c r="I15" s="2">
        <f>F15-(C15/2)</f>
        <v>280</v>
      </c>
      <c r="K15" s="2">
        <f>E15+(C15/2)</f>
        <v>810</v>
      </c>
      <c r="L15" s="2">
        <f>F15</f>
        <v>300</v>
      </c>
      <c r="N15" s="2">
        <f>E15</f>
        <v>790</v>
      </c>
      <c r="O15" s="2">
        <f>F15+(C15/2)</f>
        <v>320</v>
      </c>
      <c r="Q15" s="2">
        <f>E15-(C15/2)</f>
        <v>770</v>
      </c>
      <c r="R15" s="2">
        <f>F15</f>
        <v>300</v>
      </c>
      <c r="T15" s="2">
        <f>E15</f>
        <v>790</v>
      </c>
      <c r="U15" s="2">
        <f>F15+C15</f>
        <v>340</v>
      </c>
    </row>
    <row r="16" spans="1:21" x14ac:dyDescent="0.25">
      <c r="A16" s="1"/>
      <c r="B16" s="1"/>
      <c r="C16" s="1"/>
      <c r="D16" s="1"/>
      <c r="E16" s="4" t="str">
        <f>H15&amp;","&amp;I15&amp;" "&amp;K15&amp;","&amp;L15&amp;" "&amp;N15&amp;","&amp;O15&amp;" "&amp;Q15&amp;","&amp;R15</f>
        <v>790,280 810,300 790,320 770,300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21" ht="5.85" customHeight="1" x14ac:dyDescent="0.25"/>
    <row r="18" spans="1:21" x14ac:dyDescent="0.25">
      <c r="A18" s="1" t="s">
        <v>34</v>
      </c>
      <c r="B18" s="1"/>
      <c r="C18" s="1">
        <v>40</v>
      </c>
      <c r="D18" s="1"/>
      <c r="E18" s="2">
        <v>960</v>
      </c>
      <c r="F18" s="2">
        <v>300</v>
      </c>
      <c r="H18" s="2">
        <v>300</v>
      </c>
      <c r="I18" s="2">
        <f>F18-(C18/2)</f>
        <v>280</v>
      </c>
      <c r="K18" s="2">
        <f>E18+(C18/2)</f>
        <v>980</v>
      </c>
      <c r="L18" s="2">
        <f>F18</f>
        <v>300</v>
      </c>
      <c r="N18" s="2">
        <f>E18</f>
        <v>960</v>
      </c>
      <c r="O18" s="2">
        <f>F18+(C18/2)</f>
        <v>320</v>
      </c>
      <c r="Q18" s="2">
        <f>E18-(C18/2)</f>
        <v>940</v>
      </c>
      <c r="R18" s="2">
        <f>F18</f>
        <v>300</v>
      </c>
      <c r="T18" s="2">
        <f>E18</f>
        <v>960</v>
      </c>
      <c r="U18" s="2">
        <f>F18+C18</f>
        <v>340</v>
      </c>
    </row>
    <row r="19" spans="1:21" x14ac:dyDescent="0.25">
      <c r="A19" s="1"/>
      <c r="B19" s="1"/>
      <c r="C19" s="1"/>
      <c r="D19" s="1"/>
      <c r="E19" s="4" t="str">
        <f>H18&amp;","&amp;I18&amp;" "&amp;K18&amp;","&amp;L18&amp;" "&amp;N18&amp;","&amp;O18&amp;" "&amp;Q18&amp;","&amp;R18</f>
        <v>300,280 980,300 960,320 940,300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21" ht="5.85" customHeight="1" x14ac:dyDescent="0.25"/>
    <row r="21" spans="1:21" x14ac:dyDescent="0.25">
      <c r="A21" s="1" t="s">
        <v>35</v>
      </c>
      <c r="B21" s="1"/>
      <c r="C21" s="1">
        <v>40</v>
      </c>
      <c r="D21" s="1"/>
      <c r="E21" s="2">
        <v>670</v>
      </c>
      <c r="F21" s="2">
        <v>382</v>
      </c>
      <c r="H21" s="2">
        <f>E21</f>
        <v>670</v>
      </c>
      <c r="I21" s="2">
        <f>F21-(C21/2)</f>
        <v>362</v>
      </c>
      <c r="K21" s="2">
        <f>E21+(C21/2)</f>
        <v>690</v>
      </c>
      <c r="L21" s="2">
        <f>F21</f>
        <v>382</v>
      </c>
      <c r="N21" s="2">
        <f>E21</f>
        <v>670</v>
      </c>
      <c r="O21" s="2">
        <f>F21+(C21/2)</f>
        <v>402</v>
      </c>
      <c r="Q21" s="2">
        <f>E21-(C21/2)</f>
        <v>650</v>
      </c>
      <c r="R21" s="2">
        <f>F21</f>
        <v>382</v>
      </c>
      <c r="T21" s="2">
        <f>E21</f>
        <v>670</v>
      </c>
      <c r="U21" s="2">
        <f>F21+C21</f>
        <v>422</v>
      </c>
    </row>
    <row r="22" spans="1:21" x14ac:dyDescent="0.25">
      <c r="A22" s="1"/>
      <c r="B22" s="1"/>
      <c r="C22" s="1"/>
      <c r="D22" s="1"/>
      <c r="E22" s="4" t="str">
        <f>H21&amp;","&amp;I21&amp;" "&amp;K21&amp;","&amp;L21&amp;" "&amp;N21&amp;","&amp;O21&amp;" "&amp;Q21&amp;","&amp;R21</f>
        <v>670,362 690,382 670,402 650,382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21" ht="5.85" customHeight="1" x14ac:dyDescent="0.25"/>
    <row r="24" spans="1:21" x14ac:dyDescent="0.25">
      <c r="A24" s="1" t="s">
        <v>36</v>
      </c>
      <c r="B24" s="1"/>
      <c r="C24" s="1">
        <v>40</v>
      </c>
      <c r="D24" s="1"/>
      <c r="E24" s="2">
        <v>588</v>
      </c>
      <c r="F24" s="2">
        <v>436</v>
      </c>
      <c r="H24" s="2">
        <f>E24</f>
        <v>588</v>
      </c>
      <c r="I24" s="2">
        <f>F24-(C24/2)</f>
        <v>416</v>
      </c>
      <c r="K24" s="2">
        <f>E24+(C24/2)</f>
        <v>608</v>
      </c>
      <c r="L24" s="2">
        <f>F24</f>
        <v>436</v>
      </c>
      <c r="N24" s="2">
        <f>E24</f>
        <v>588</v>
      </c>
      <c r="O24" s="2">
        <f>F24+(C24/2)</f>
        <v>456</v>
      </c>
      <c r="Q24" s="2">
        <f>E24-(C24/2)</f>
        <v>568</v>
      </c>
      <c r="R24" s="2">
        <f>F24</f>
        <v>436</v>
      </c>
      <c r="T24" s="2">
        <f>E24</f>
        <v>588</v>
      </c>
      <c r="U24" s="2">
        <f>F24+C24</f>
        <v>476</v>
      </c>
    </row>
    <row r="25" spans="1:21" x14ac:dyDescent="0.25">
      <c r="A25" s="1"/>
      <c r="B25" s="1"/>
      <c r="C25" s="1"/>
      <c r="D25" s="1"/>
      <c r="E25" s="4" t="str">
        <f>H24&amp;","&amp;I24&amp;" "&amp;K24&amp;","&amp;L24&amp;" "&amp;N24&amp;","&amp;O24&amp;" "&amp;Q24&amp;","&amp;R24</f>
        <v>588,416 608,436 588,456 568,436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21" ht="5.85" customHeight="1" x14ac:dyDescent="0.25"/>
    <row r="27" spans="1:21" x14ac:dyDescent="0.25">
      <c r="A27" s="1" t="s">
        <v>37</v>
      </c>
      <c r="B27" s="1"/>
      <c r="C27" s="1">
        <v>40</v>
      </c>
      <c r="D27" s="1"/>
      <c r="E27" s="2">
        <v>390</v>
      </c>
      <c r="F27" s="2">
        <v>470</v>
      </c>
      <c r="H27" s="2">
        <f>E27</f>
        <v>390</v>
      </c>
      <c r="I27" s="2">
        <f>F27-(C27/2)</f>
        <v>450</v>
      </c>
      <c r="K27" s="2">
        <f>E27+(C27/2)</f>
        <v>410</v>
      </c>
      <c r="L27" s="2">
        <f>F27</f>
        <v>470</v>
      </c>
      <c r="N27" s="2">
        <f>E27</f>
        <v>390</v>
      </c>
      <c r="O27" s="2">
        <f>F27+(C27/2)</f>
        <v>490</v>
      </c>
      <c r="Q27" s="2">
        <f>E27-(C27/2)</f>
        <v>370</v>
      </c>
      <c r="R27" s="2">
        <f>F27</f>
        <v>470</v>
      </c>
      <c r="T27" s="2">
        <f>E27</f>
        <v>390</v>
      </c>
      <c r="U27" s="2">
        <f>F27+C27</f>
        <v>510</v>
      </c>
    </row>
    <row r="28" spans="1:21" x14ac:dyDescent="0.25">
      <c r="A28" s="1" t="s">
        <v>38</v>
      </c>
      <c r="B28" s="1"/>
      <c r="C28" s="1"/>
      <c r="D28" s="1"/>
      <c r="E28" s="4" t="str">
        <f>H27&amp;","&amp;I27&amp;" "&amp;K27&amp;","&amp;L27&amp;" "&amp;N27&amp;","&amp;O27&amp;" "&amp;Q27&amp;","&amp;R27</f>
        <v>390,450 410,470 390,490 370,470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21" ht="5.85" customHeight="1" x14ac:dyDescent="0.25"/>
    <row r="30" spans="1:21" x14ac:dyDescent="0.25">
      <c r="A30" s="1" t="s">
        <v>39</v>
      </c>
      <c r="B30" s="1"/>
      <c r="C30" s="1">
        <v>40</v>
      </c>
      <c r="D30" s="1"/>
      <c r="E30" s="2">
        <v>288</v>
      </c>
      <c r="F30" s="2">
        <v>268</v>
      </c>
      <c r="H30" s="2">
        <f>E30</f>
        <v>288</v>
      </c>
      <c r="I30" s="2">
        <f>F30-(C30/2)</f>
        <v>248</v>
      </c>
      <c r="K30" s="2">
        <f>E30+(C30/2)</f>
        <v>308</v>
      </c>
      <c r="L30" s="2">
        <f>F30</f>
        <v>268</v>
      </c>
      <c r="N30" s="2">
        <f>E30</f>
        <v>288</v>
      </c>
      <c r="O30" s="2">
        <f>F30+(C30/2)</f>
        <v>288</v>
      </c>
      <c r="Q30" s="2">
        <f>E30-(C30/2)</f>
        <v>268</v>
      </c>
      <c r="R30" s="2">
        <f>F30</f>
        <v>268</v>
      </c>
      <c r="T30" s="2">
        <f>E30</f>
        <v>288</v>
      </c>
      <c r="U30" s="2">
        <f>F30+C30</f>
        <v>308</v>
      </c>
    </row>
    <row r="31" spans="1:21" x14ac:dyDescent="0.25">
      <c r="A31" s="1" t="s">
        <v>40</v>
      </c>
      <c r="B31" s="1"/>
      <c r="C31" s="1"/>
      <c r="D31" s="1"/>
      <c r="E31" s="4" t="str">
        <f>H30&amp;","&amp;I30&amp;" "&amp;K30&amp;","&amp;L30&amp;" "&amp;N30&amp;","&amp;O30&amp;" "&amp;Q30&amp;","&amp;R30</f>
        <v>288,248 308,268 288,288 268,268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21" ht="5.85" customHeight="1" x14ac:dyDescent="0.25"/>
    <row r="33" spans="1:21" x14ac:dyDescent="0.25">
      <c r="A33" s="1" t="s">
        <v>41</v>
      </c>
      <c r="B33" s="1"/>
      <c r="C33" s="1">
        <v>40</v>
      </c>
      <c r="D33" s="1"/>
      <c r="E33" s="2">
        <v>100</v>
      </c>
      <c r="F33" s="2">
        <v>470</v>
      </c>
      <c r="H33" s="2">
        <f>E33</f>
        <v>100</v>
      </c>
      <c r="I33" s="2">
        <f>F33-(C33/2)</f>
        <v>450</v>
      </c>
      <c r="K33" s="2">
        <f>E33+(C33/2)</f>
        <v>120</v>
      </c>
      <c r="L33" s="2">
        <f>F33</f>
        <v>470</v>
      </c>
      <c r="N33" s="2">
        <f>E33</f>
        <v>100</v>
      </c>
      <c r="O33" s="2">
        <f>F33+(C33/2)</f>
        <v>490</v>
      </c>
      <c r="Q33" s="2">
        <f>E33-(C33/2)</f>
        <v>80</v>
      </c>
      <c r="R33" s="2">
        <f>F33</f>
        <v>470</v>
      </c>
      <c r="T33" s="2">
        <f>E33</f>
        <v>100</v>
      </c>
      <c r="U33" s="2">
        <f>F33+C33</f>
        <v>510</v>
      </c>
    </row>
    <row r="34" spans="1:21" x14ac:dyDescent="0.25">
      <c r="A34" s="1" t="s">
        <v>42</v>
      </c>
      <c r="B34" s="1"/>
      <c r="C34" s="1"/>
      <c r="D34" s="1"/>
      <c r="E34" s="4" t="str">
        <f>H33&amp;","&amp;I33&amp;" "&amp;K33&amp;","&amp;L33&amp;" "&amp;N33&amp;","&amp;O33&amp;" "&amp;Q33&amp;","&amp;R33</f>
        <v>100,450 120,470 100,490 80,470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21" ht="5.85" customHeight="1" x14ac:dyDescent="0.25"/>
    <row r="36" spans="1:21" x14ac:dyDescent="0.25">
      <c r="A36" s="1" t="s">
        <v>43</v>
      </c>
      <c r="B36" s="1"/>
      <c r="C36" s="1">
        <v>40</v>
      </c>
      <c r="D36" s="1"/>
      <c r="E36" s="2">
        <v>140</v>
      </c>
      <c r="F36" s="2">
        <v>540</v>
      </c>
      <c r="H36" s="2">
        <f>E36</f>
        <v>140</v>
      </c>
      <c r="I36" s="2">
        <f>F36-(C36/2)</f>
        <v>520</v>
      </c>
      <c r="K36" s="2">
        <f>E36+(C36/2)</f>
        <v>160</v>
      </c>
      <c r="L36" s="2">
        <f>F36</f>
        <v>540</v>
      </c>
      <c r="N36" s="2">
        <f>E36</f>
        <v>140</v>
      </c>
      <c r="O36" s="2">
        <f>F36+(C36/2)</f>
        <v>560</v>
      </c>
      <c r="Q36" s="2">
        <f>E36-(C36/2)</f>
        <v>120</v>
      </c>
      <c r="R36" s="2">
        <f>F36</f>
        <v>540</v>
      </c>
      <c r="T36" s="2">
        <f>E36</f>
        <v>140</v>
      </c>
      <c r="U36" s="2">
        <f>F36+C36</f>
        <v>580</v>
      </c>
    </row>
    <row r="37" spans="1:21" x14ac:dyDescent="0.25">
      <c r="A37" s="1"/>
      <c r="B37" s="1"/>
      <c r="C37" s="1"/>
      <c r="D37" s="1"/>
      <c r="E37" s="4" t="str">
        <f>H36&amp;","&amp;I36&amp;" "&amp;K36&amp;","&amp;L36&amp;" "&amp;N36&amp;","&amp;O36&amp;" "&amp;Q36&amp;","&amp;R36</f>
        <v>140,520 160,540 140,560 120,540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21" ht="4.5" customHeight="1" x14ac:dyDescent="0.25"/>
    <row r="39" spans="1:21" x14ac:dyDescent="0.25">
      <c r="A39" s="1" t="s">
        <v>44</v>
      </c>
      <c r="B39" s="1"/>
      <c r="C39" s="1">
        <v>40</v>
      </c>
      <c r="D39" s="1"/>
      <c r="E39" s="2">
        <v>180</v>
      </c>
      <c r="F39" s="2">
        <v>570</v>
      </c>
      <c r="H39" s="2">
        <f>E39</f>
        <v>180</v>
      </c>
      <c r="I39" s="2">
        <f>F39-(C39/2)</f>
        <v>550</v>
      </c>
      <c r="K39" s="2">
        <f>E39+(C39/2)</f>
        <v>200</v>
      </c>
      <c r="L39" s="2">
        <f>F39</f>
        <v>570</v>
      </c>
      <c r="N39" s="2">
        <f>E39</f>
        <v>180</v>
      </c>
      <c r="O39" s="2">
        <f>F39+(C39/2)</f>
        <v>590</v>
      </c>
      <c r="Q39" s="2">
        <f>E39-(C39/2)</f>
        <v>160</v>
      </c>
      <c r="R39" s="2">
        <f>F39</f>
        <v>570</v>
      </c>
      <c r="T39" s="2">
        <f>E39</f>
        <v>180</v>
      </c>
      <c r="U39" s="2">
        <f>F39+C39</f>
        <v>610</v>
      </c>
    </row>
    <row r="40" spans="1:21" x14ac:dyDescent="0.25">
      <c r="A40" s="1"/>
      <c r="B40" s="1"/>
      <c r="C40" s="1"/>
      <c r="D40" s="1"/>
      <c r="E40" s="4" t="str">
        <f>H39&amp;","&amp;I39&amp;" "&amp;K39&amp;","&amp;L39&amp;" "&amp;N39&amp;","&amp;O39&amp;" "&amp;Q39&amp;","&amp;R39</f>
        <v>180,550 200,570 180,590 160,570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21" ht="5.85" customHeight="1" x14ac:dyDescent="0.25"/>
    <row r="42" spans="1:21" ht="15" customHeight="1" x14ac:dyDescent="0.25"/>
    <row r="43" spans="1:21" x14ac:dyDescent="0.25">
      <c r="A43" s="1" t="s">
        <v>45</v>
      </c>
      <c r="B43" s="1"/>
      <c r="C43" s="1">
        <v>40</v>
      </c>
      <c r="D43" s="1"/>
      <c r="E43" s="2">
        <v>348</v>
      </c>
      <c r="F43" s="2">
        <v>534</v>
      </c>
      <c r="H43" s="2">
        <f>E43</f>
        <v>348</v>
      </c>
      <c r="I43" s="2">
        <f>F43-(C43/2)</f>
        <v>514</v>
      </c>
      <c r="K43" s="2">
        <f>E43+(C43/2)</f>
        <v>368</v>
      </c>
      <c r="L43" s="2">
        <f>F43</f>
        <v>534</v>
      </c>
      <c r="N43" s="2">
        <f>E43</f>
        <v>348</v>
      </c>
      <c r="O43" s="2">
        <f>F43+(C43/2)</f>
        <v>554</v>
      </c>
      <c r="Q43" s="2">
        <f>E43-(C43/2)</f>
        <v>328</v>
      </c>
      <c r="R43" s="2">
        <f>F43</f>
        <v>534</v>
      </c>
      <c r="T43" s="2">
        <f>E43</f>
        <v>348</v>
      </c>
      <c r="U43" s="2">
        <f>F43+C43</f>
        <v>574</v>
      </c>
    </row>
    <row r="44" spans="1:21" x14ac:dyDescent="0.25">
      <c r="A44" s="1"/>
      <c r="B44" s="1"/>
      <c r="C44" s="1"/>
      <c r="D44" s="1"/>
      <c r="E44" s="4" t="str">
        <f>H43&amp;","&amp;I43&amp;" "&amp;K43&amp;","&amp;L43&amp;" "&amp;N43&amp;","&amp;O43&amp;" "&amp;Q43&amp;","&amp;R43</f>
        <v>348,514 368,534 348,554 328,534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21" ht="5.85" customHeight="1" x14ac:dyDescent="0.25"/>
    <row r="46" spans="1:21" x14ac:dyDescent="0.25">
      <c r="A46" s="1" t="s">
        <v>46</v>
      </c>
      <c r="B46" s="1"/>
      <c r="C46" s="1">
        <v>40</v>
      </c>
      <c r="D46" s="1"/>
      <c r="E46" s="2">
        <v>406</v>
      </c>
      <c r="F46" s="2">
        <v>558</v>
      </c>
      <c r="H46" s="2">
        <f>E46</f>
        <v>406</v>
      </c>
      <c r="I46" s="2">
        <f>F46-(C46/2)</f>
        <v>538</v>
      </c>
      <c r="K46" s="2">
        <f>E46+(C46/2)</f>
        <v>426</v>
      </c>
      <c r="L46" s="2">
        <f>F46</f>
        <v>558</v>
      </c>
      <c r="N46" s="2">
        <f>E46</f>
        <v>406</v>
      </c>
      <c r="O46" s="2">
        <f>F46+(C46/2)</f>
        <v>578</v>
      </c>
      <c r="Q46" s="2">
        <f>E46-(C46/2)</f>
        <v>386</v>
      </c>
      <c r="R46" s="2">
        <f>F46</f>
        <v>558</v>
      </c>
      <c r="T46" s="2">
        <f>E46</f>
        <v>406</v>
      </c>
      <c r="U46" s="2">
        <f>F46+C46</f>
        <v>598</v>
      </c>
    </row>
    <row r="47" spans="1:21" x14ac:dyDescent="0.25">
      <c r="A47" s="1"/>
      <c r="B47" s="1"/>
      <c r="C47" s="1"/>
      <c r="D47" s="1"/>
      <c r="E47" s="4" t="str">
        <f>H46&amp;","&amp;I46&amp;" "&amp;K46&amp;","&amp;L46&amp;" "&amp;N46&amp;","&amp;O46&amp;" "&amp;Q46&amp;","&amp;R46</f>
        <v>406,538 426,558 406,578 386,558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21" ht="5.85" customHeight="1" x14ac:dyDescent="0.25"/>
    <row r="49" spans="1:21" x14ac:dyDescent="0.25">
      <c r="A49" s="1" t="s">
        <v>47</v>
      </c>
      <c r="B49" s="1"/>
      <c r="C49" s="1">
        <v>40</v>
      </c>
      <c r="D49" s="1"/>
      <c r="E49" s="2">
        <v>550</v>
      </c>
      <c r="F49" s="2">
        <v>564</v>
      </c>
      <c r="H49" s="2">
        <f>E49</f>
        <v>550</v>
      </c>
      <c r="I49" s="2">
        <f>F49-(C49/2)</f>
        <v>544</v>
      </c>
      <c r="K49" s="2">
        <f>E49+(C49/2)</f>
        <v>570</v>
      </c>
      <c r="L49" s="2">
        <f>F49</f>
        <v>564</v>
      </c>
      <c r="N49" s="2">
        <f>E49</f>
        <v>550</v>
      </c>
      <c r="O49" s="2">
        <f>F49+(C49/2)</f>
        <v>584</v>
      </c>
      <c r="Q49" s="2">
        <f>E49-(C49/2)</f>
        <v>530</v>
      </c>
      <c r="R49" s="2">
        <f>F49</f>
        <v>564</v>
      </c>
      <c r="T49" s="2">
        <f>E49</f>
        <v>550</v>
      </c>
      <c r="U49" s="2">
        <f>F49+C49</f>
        <v>604</v>
      </c>
    </row>
    <row r="50" spans="1:21" x14ac:dyDescent="0.25">
      <c r="A50" s="1"/>
      <c r="B50" s="1"/>
      <c r="C50" s="1"/>
      <c r="D50" s="1"/>
      <c r="E50" s="4" t="str">
        <f>H49&amp;","&amp;I49&amp;" "&amp;K49&amp;","&amp;L49&amp;" "&amp;N49&amp;","&amp;O49&amp;" "&amp;Q49&amp;","&amp;R49</f>
        <v>550,544 570,564 550,584 530,564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21" ht="5.85" customHeight="1" x14ac:dyDescent="0.25"/>
    <row r="52" spans="1:21" x14ac:dyDescent="0.25">
      <c r="A52" s="1" t="s">
        <v>37</v>
      </c>
      <c r="B52" s="1"/>
      <c r="C52" s="1">
        <v>40</v>
      </c>
      <c r="D52" s="1"/>
      <c r="E52" s="2">
        <v>640</v>
      </c>
      <c r="F52" s="2">
        <v>530</v>
      </c>
      <c r="H52" s="2">
        <f>E52</f>
        <v>640</v>
      </c>
      <c r="I52" s="2">
        <f>F52-(C52/2)</f>
        <v>510</v>
      </c>
      <c r="K52" s="2">
        <f>E52+(C52/2)</f>
        <v>660</v>
      </c>
      <c r="L52" s="2">
        <f>F52</f>
        <v>530</v>
      </c>
      <c r="N52" s="2">
        <f>E52</f>
        <v>640</v>
      </c>
      <c r="O52" s="2">
        <f>F52+(C52/2)</f>
        <v>550</v>
      </c>
      <c r="Q52" s="2">
        <f>E52-(C52/2)</f>
        <v>620</v>
      </c>
      <c r="R52" s="2">
        <f>F52</f>
        <v>530</v>
      </c>
      <c r="T52" s="2">
        <f>E52</f>
        <v>640</v>
      </c>
      <c r="U52" s="2">
        <f>F52+C52</f>
        <v>570</v>
      </c>
    </row>
    <row r="53" spans="1:21" x14ac:dyDescent="0.25">
      <c r="A53" s="1" t="s">
        <v>42</v>
      </c>
      <c r="B53" s="1"/>
      <c r="C53" s="1"/>
      <c r="D53" s="1"/>
      <c r="E53" s="4" t="str">
        <f>H52&amp;","&amp;I52&amp;" "&amp;K52&amp;","&amp;L52&amp;" "&amp;N52&amp;","&amp;O52&amp;" "&amp;Q52&amp;","&amp;R52</f>
        <v>640,510 660,530 640,550 620,530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21" ht="5.85" customHeight="1" x14ac:dyDescent="0.25"/>
    <row r="55" spans="1:21" x14ac:dyDescent="0.25">
      <c r="A55" s="1" t="s">
        <v>48</v>
      </c>
      <c r="B55" s="1"/>
      <c r="C55" s="1">
        <v>40</v>
      </c>
      <c r="D55" s="1"/>
      <c r="E55" s="2">
        <v>736</v>
      </c>
      <c r="F55" s="2">
        <v>460</v>
      </c>
      <c r="H55" s="2">
        <f>E55</f>
        <v>736</v>
      </c>
      <c r="I55" s="2">
        <f>F55-(C55/2)</f>
        <v>440</v>
      </c>
      <c r="K55" s="2">
        <f>E55+(C55/2)</f>
        <v>756</v>
      </c>
      <c r="L55" s="2">
        <f>F55</f>
        <v>460</v>
      </c>
      <c r="N55" s="2">
        <f>E55</f>
        <v>736</v>
      </c>
      <c r="O55" s="2">
        <f>F55+(C55/2)</f>
        <v>480</v>
      </c>
      <c r="Q55" s="2">
        <f>E55-(C55/2)</f>
        <v>716</v>
      </c>
      <c r="R55" s="2">
        <f>F55</f>
        <v>460</v>
      </c>
      <c r="T55" s="2">
        <f>E55</f>
        <v>736</v>
      </c>
      <c r="U55" s="2">
        <f>F55+C55</f>
        <v>500</v>
      </c>
    </row>
    <row r="56" spans="1:21" x14ac:dyDescent="0.25">
      <c r="A56" s="1"/>
      <c r="B56" s="1"/>
      <c r="C56" s="1"/>
      <c r="D56" s="1"/>
      <c r="E56" s="4" t="str">
        <f>H55&amp;","&amp;I55&amp;" "&amp;K55&amp;","&amp;L55&amp;" "&amp;N55&amp;","&amp;O55&amp;" "&amp;Q55&amp;","&amp;R55</f>
        <v>736,440 756,460 736,480 716,460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21" ht="5.85" customHeight="1" x14ac:dyDescent="0.25"/>
    <row r="58" spans="1:21" x14ac:dyDescent="0.25">
      <c r="A58" s="1" t="s">
        <v>49</v>
      </c>
      <c r="B58" s="1"/>
      <c r="C58" s="1">
        <v>40</v>
      </c>
      <c r="D58" s="1"/>
      <c r="E58" s="2">
        <v>884</v>
      </c>
      <c r="F58" s="2">
        <v>462</v>
      </c>
      <c r="H58" s="2">
        <f>E58</f>
        <v>884</v>
      </c>
      <c r="I58" s="2">
        <f>F58-(C58/2)</f>
        <v>442</v>
      </c>
      <c r="K58" s="2">
        <f>E58+(C58/2)</f>
        <v>904</v>
      </c>
      <c r="L58" s="2">
        <f>F58</f>
        <v>462</v>
      </c>
      <c r="N58" s="2">
        <f>E58</f>
        <v>884</v>
      </c>
      <c r="O58" s="2">
        <f>F58+(C58/2)</f>
        <v>482</v>
      </c>
      <c r="Q58" s="2">
        <f>E58-(C58/2)</f>
        <v>864</v>
      </c>
      <c r="R58" s="2">
        <f>F58</f>
        <v>462</v>
      </c>
      <c r="T58" s="2">
        <f>E58</f>
        <v>884</v>
      </c>
      <c r="U58" s="2">
        <f>F58+C58</f>
        <v>502</v>
      </c>
    </row>
    <row r="59" spans="1:21" x14ac:dyDescent="0.25">
      <c r="A59" s="1"/>
      <c r="B59" s="1"/>
      <c r="C59" s="1"/>
      <c r="D59" s="1"/>
      <c r="E59" s="4" t="str">
        <f>H58&amp;","&amp;I58&amp;" "&amp;K58&amp;","&amp;L58&amp;" "&amp;N58&amp;","&amp;O58&amp;" "&amp;Q58&amp;","&amp;R58</f>
        <v>884,442 904,462 884,482 864,462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1" spans="1:21" x14ac:dyDescent="0.25">
      <c r="A61" s="1" t="s">
        <v>50</v>
      </c>
      <c r="B61" s="1"/>
      <c r="C61" s="1">
        <v>40</v>
      </c>
      <c r="D61" s="1"/>
      <c r="E61" s="2">
        <v>1012</v>
      </c>
      <c r="F61" s="2">
        <v>600</v>
      </c>
      <c r="H61" s="2">
        <f>E61</f>
        <v>1012</v>
      </c>
      <c r="I61" s="2">
        <f>F61-(C61/2)</f>
        <v>580</v>
      </c>
      <c r="K61" s="2">
        <f>E61+(C61/2)</f>
        <v>1032</v>
      </c>
      <c r="L61" s="2">
        <f>F61</f>
        <v>600</v>
      </c>
      <c r="N61" s="2">
        <f>E61</f>
        <v>1012</v>
      </c>
      <c r="O61" s="2">
        <f>F61+(C61/2)</f>
        <v>620</v>
      </c>
      <c r="Q61" s="2">
        <f>E61-(C61/2)</f>
        <v>992</v>
      </c>
      <c r="R61" s="2">
        <f>F61</f>
        <v>600</v>
      </c>
      <c r="T61" s="2">
        <f>E61</f>
        <v>1012</v>
      </c>
      <c r="U61" s="2">
        <f>F61+C61</f>
        <v>640</v>
      </c>
    </row>
    <row r="62" spans="1:21" x14ac:dyDescent="0.25">
      <c r="A62" s="1"/>
      <c r="B62" s="1"/>
      <c r="C62" s="1"/>
      <c r="D62" s="1"/>
      <c r="E62" s="4" t="str">
        <f>H61&amp;","&amp;I61&amp;" "&amp;K61&amp;","&amp;L61&amp;" "&amp;N61&amp;","&amp;O61&amp;" "&amp;Q61&amp;","&amp;R61</f>
        <v>1012,580 1032,600 1012,620 992,600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4" spans="1:21" x14ac:dyDescent="0.25">
      <c r="A64" s="1"/>
      <c r="B64" s="1"/>
      <c r="C64" s="1">
        <v>40</v>
      </c>
      <c r="D64" s="1"/>
      <c r="H64" s="2">
        <f>E64</f>
        <v>0</v>
      </c>
      <c r="I64" s="2">
        <f>F64-(C64/2)</f>
        <v>-20</v>
      </c>
      <c r="K64" s="2">
        <f>E64+(C64/2)</f>
        <v>20</v>
      </c>
      <c r="L64" s="2">
        <f>F64</f>
        <v>0</v>
      </c>
      <c r="N64" s="2">
        <f>E64</f>
        <v>0</v>
      </c>
      <c r="O64" s="2">
        <f>F64+(C64/2)</f>
        <v>20</v>
      </c>
      <c r="Q64" s="2">
        <f>E64-(C64/2)</f>
        <v>-20</v>
      </c>
      <c r="R64" s="2">
        <f>F64</f>
        <v>0</v>
      </c>
      <c r="T64" s="2">
        <f>E64</f>
        <v>0</v>
      </c>
      <c r="U64" s="2">
        <f>F64+C64</f>
        <v>40</v>
      </c>
    </row>
    <row r="65" spans="1:21" x14ac:dyDescent="0.25">
      <c r="A65" s="1"/>
      <c r="B65" s="1"/>
      <c r="C65" s="1"/>
      <c r="D65" s="1"/>
      <c r="E65" s="4" t="str">
        <f>H64&amp;","&amp;I64&amp;" "&amp;K64&amp;","&amp;L64&amp;" "&amp;N64&amp;","&amp;O64&amp;" "&amp;Q64&amp;","&amp;R64</f>
        <v>0,-20 20,0 0,20 -20,0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7" spans="1:21" x14ac:dyDescent="0.25">
      <c r="A67" s="1"/>
      <c r="B67" s="1"/>
      <c r="C67" s="1">
        <v>40</v>
      </c>
      <c r="D67" s="1"/>
      <c r="H67" s="2">
        <f>E67</f>
        <v>0</v>
      </c>
      <c r="I67" s="2">
        <f>F67-(C67/2)</f>
        <v>-20</v>
      </c>
      <c r="K67" s="2">
        <f>E67+(C67/2)</f>
        <v>20</v>
      </c>
      <c r="L67" s="2">
        <f>F67</f>
        <v>0</v>
      </c>
      <c r="N67" s="2">
        <f>E67</f>
        <v>0</v>
      </c>
      <c r="O67" s="2">
        <f>F67+(C67/2)</f>
        <v>20</v>
      </c>
      <c r="Q67" s="2">
        <f>E67-(C67/2)</f>
        <v>-20</v>
      </c>
      <c r="R67" s="2">
        <f>F67</f>
        <v>0</v>
      </c>
      <c r="T67" s="2">
        <f>E67</f>
        <v>0</v>
      </c>
      <c r="U67" s="2">
        <f>F67+C67</f>
        <v>40</v>
      </c>
    </row>
    <row r="68" spans="1:21" x14ac:dyDescent="0.25">
      <c r="A68" s="1"/>
      <c r="B68" s="1"/>
      <c r="C68" s="1"/>
      <c r="D68" s="1"/>
      <c r="E68" s="4" t="str">
        <f>H67&amp;","&amp;I67&amp;" "&amp;K67&amp;","&amp;L67&amp;" "&amp;N67&amp;","&amp;O67&amp;" "&amp;Q67&amp;","&amp;R67</f>
        <v>0,-20 20,0 0,20 -20,0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70" spans="1:21" x14ac:dyDescent="0.25">
      <c r="A70" s="1"/>
      <c r="B70" s="1"/>
      <c r="C70" s="1">
        <v>40</v>
      </c>
      <c r="D70" s="1"/>
      <c r="H70" s="2">
        <f>E70</f>
        <v>0</v>
      </c>
      <c r="I70" s="2">
        <f>F70-(C70/2)</f>
        <v>-20</v>
      </c>
      <c r="K70" s="2">
        <f>E70+(C70/2)</f>
        <v>20</v>
      </c>
      <c r="L70" s="2">
        <f>F70</f>
        <v>0</v>
      </c>
      <c r="N70" s="2">
        <f>E70</f>
        <v>0</v>
      </c>
      <c r="O70" s="2">
        <f>F70+(C70/2)</f>
        <v>20</v>
      </c>
      <c r="Q70" s="2">
        <f>E70-(C70/2)</f>
        <v>-20</v>
      </c>
      <c r="R70" s="2">
        <f>F70</f>
        <v>0</v>
      </c>
      <c r="T70" s="2">
        <f>E70</f>
        <v>0</v>
      </c>
      <c r="U70" s="2">
        <f>F70+C70</f>
        <v>40</v>
      </c>
    </row>
    <row r="71" spans="1:21" x14ac:dyDescent="0.25">
      <c r="A71" s="1"/>
      <c r="B71" s="1"/>
      <c r="C71" s="1"/>
      <c r="D71" s="1"/>
      <c r="E71" s="4" t="str">
        <f>H70&amp;","&amp;I70&amp;" "&amp;K70&amp;","&amp;L70&amp;" "&amp;N70&amp;","&amp;O70&amp;" "&amp;Q70&amp;","&amp;R70</f>
        <v>0,-20 20,0 0,20 -20,0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3" spans="1:21" x14ac:dyDescent="0.25">
      <c r="A73" s="1"/>
      <c r="B73" s="1"/>
      <c r="C73" s="1">
        <v>40</v>
      </c>
      <c r="D73" s="1"/>
      <c r="H73" s="2">
        <f>E73</f>
        <v>0</v>
      </c>
      <c r="I73" s="2">
        <f>F73-(C73/2)</f>
        <v>-20</v>
      </c>
      <c r="K73" s="2">
        <f>E73+(C73/2)</f>
        <v>20</v>
      </c>
      <c r="L73" s="2">
        <f>F73</f>
        <v>0</v>
      </c>
      <c r="N73" s="2">
        <f>E73</f>
        <v>0</v>
      </c>
      <c r="O73" s="2">
        <f>F73+(C73/2)</f>
        <v>20</v>
      </c>
      <c r="Q73" s="2">
        <f>E73-(C73/2)</f>
        <v>-20</v>
      </c>
      <c r="R73" s="2">
        <f>F73</f>
        <v>0</v>
      </c>
      <c r="T73" s="2">
        <f>E73</f>
        <v>0</v>
      </c>
      <c r="U73" s="2">
        <f>F73+C73</f>
        <v>40</v>
      </c>
    </row>
    <row r="74" spans="1:21" x14ac:dyDescent="0.25">
      <c r="A74" s="1"/>
      <c r="B74" s="1"/>
      <c r="C74" s="1"/>
      <c r="D74" s="1"/>
      <c r="E74" s="4" t="str">
        <f>H73&amp;","&amp;I73&amp;" "&amp;K73&amp;","&amp;L73&amp;" "&amp;N73&amp;","&amp;O73&amp;" "&amp;Q73&amp;","&amp;R73</f>
        <v>0,-20 20,0 0,20 -20,0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6" spans="1:21" x14ac:dyDescent="0.25">
      <c r="A76" s="1"/>
      <c r="B76" s="1"/>
      <c r="C76" s="1">
        <v>40</v>
      </c>
      <c r="D76" s="1"/>
      <c r="H76" s="2">
        <f>E76</f>
        <v>0</v>
      </c>
      <c r="I76" s="2">
        <f>F76-(C76/2)</f>
        <v>-20</v>
      </c>
      <c r="K76" s="2">
        <f>E76+(C76/2)</f>
        <v>20</v>
      </c>
      <c r="L76" s="2">
        <f>F76</f>
        <v>0</v>
      </c>
      <c r="N76" s="2">
        <f>E76</f>
        <v>0</v>
      </c>
      <c r="O76" s="2">
        <f>F76+(C76/2)</f>
        <v>20</v>
      </c>
      <c r="Q76" s="2">
        <f>E76-(C76/2)</f>
        <v>-20</v>
      </c>
      <c r="R76" s="2">
        <f>F76</f>
        <v>0</v>
      </c>
      <c r="T76" s="2">
        <f>E76</f>
        <v>0</v>
      </c>
      <c r="U76" s="2">
        <f>F76+C76</f>
        <v>40</v>
      </c>
    </row>
    <row r="77" spans="1:21" x14ac:dyDescent="0.25">
      <c r="A77" s="1"/>
      <c r="B77" s="1"/>
      <c r="C77" s="1"/>
      <c r="D77" s="1"/>
      <c r="E77" s="4" t="str">
        <f>H76&amp;","&amp;I76&amp;" "&amp;K76&amp;","&amp;L76&amp;" "&amp;N76&amp;","&amp;O76&amp;" "&amp;Q76&amp;","&amp;R76</f>
        <v>0,-20 20,0 0,20 -20,0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</sheetData>
  <mergeCells count="25">
    <mergeCell ref="E77:R77"/>
    <mergeCell ref="E62:R62"/>
    <mergeCell ref="E65:R65"/>
    <mergeCell ref="E68:R68"/>
    <mergeCell ref="E71:R71"/>
    <mergeCell ref="E74:R74"/>
    <mergeCell ref="E47:R47"/>
    <mergeCell ref="E50:R50"/>
    <mergeCell ref="E53:R53"/>
    <mergeCell ref="E56:R56"/>
    <mergeCell ref="E59:R59"/>
    <mergeCell ref="E31:R31"/>
    <mergeCell ref="E34:R34"/>
    <mergeCell ref="E37:R37"/>
    <mergeCell ref="E40:R40"/>
    <mergeCell ref="E44:R44"/>
    <mergeCell ref="E22:R22"/>
    <mergeCell ref="E25:R25"/>
    <mergeCell ref="E28:R28"/>
    <mergeCell ref="E4:R4"/>
    <mergeCell ref="E7:R7"/>
    <mergeCell ref="E10:R10"/>
    <mergeCell ref="E13:R13"/>
    <mergeCell ref="E16:R16"/>
    <mergeCell ref="E19:R19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System</vt:lpstr>
      <vt:lpstr>Ceto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Bey, Mario</cp:lastModifiedBy>
  <dcterms:created xsi:type="dcterms:W3CDTF">2015-06-05T18:19:34Z</dcterms:created>
  <dcterms:modified xsi:type="dcterms:W3CDTF">2026-03-30T11:40:04Z</dcterms:modified>
</cp:coreProperties>
</file>