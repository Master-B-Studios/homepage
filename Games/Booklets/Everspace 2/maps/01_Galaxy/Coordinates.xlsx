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m.bey\Documents\GitHub\homepage\Games\Booklets\Everspace 2\maps\01_Galaxy\"/>
    </mc:Choice>
  </mc:AlternateContent>
  <xr:revisionPtr revIDLastSave="0" documentId="13_ncr:1_{719D15C4-889B-40B8-9498-9DDE4E658E73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System" sheetId="1" r:id="rId1"/>
    <sheet name="Cet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7" i="2" l="1"/>
  <c r="T27" i="2"/>
  <c r="R27" i="2"/>
  <c r="Q27" i="2"/>
  <c r="O27" i="2"/>
  <c r="N27" i="2"/>
  <c r="L27" i="2"/>
  <c r="K27" i="2"/>
  <c r="I27" i="2"/>
  <c r="H27" i="2"/>
  <c r="E28" i="2" s="1"/>
  <c r="U24" i="2"/>
  <c r="T24" i="2"/>
  <c r="R24" i="2"/>
  <c r="Q24" i="2"/>
  <c r="O24" i="2"/>
  <c r="N24" i="2"/>
  <c r="L24" i="2"/>
  <c r="K24" i="2"/>
  <c r="I24" i="2"/>
  <c r="H24" i="2"/>
  <c r="E25" i="2" s="1"/>
  <c r="U21" i="2"/>
  <c r="T21" i="2"/>
  <c r="R21" i="2"/>
  <c r="Q21" i="2"/>
  <c r="O21" i="2"/>
  <c r="N21" i="2"/>
  <c r="L21" i="2"/>
  <c r="K21" i="2"/>
  <c r="I21" i="2"/>
  <c r="H21" i="2"/>
  <c r="E22" i="2" s="1"/>
  <c r="U18" i="2"/>
  <c r="T18" i="2"/>
  <c r="R18" i="2"/>
  <c r="Q18" i="2"/>
  <c r="O18" i="2"/>
  <c r="N18" i="2"/>
  <c r="L18" i="2"/>
  <c r="K18" i="2"/>
  <c r="I18" i="2"/>
  <c r="H18" i="2"/>
  <c r="E19" i="2" s="1"/>
  <c r="U15" i="2"/>
  <c r="T15" i="2"/>
  <c r="R15" i="2"/>
  <c r="Q15" i="2"/>
  <c r="O15" i="2"/>
  <c r="N15" i="2"/>
  <c r="L15" i="2"/>
  <c r="K15" i="2"/>
  <c r="I15" i="2"/>
  <c r="H15" i="2"/>
  <c r="E16" i="2" s="1"/>
  <c r="U12" i="2"/>
  <c r="T12" i="2"/>
  <c r="R12" i="2"/>
  <c r="Q12" i="2"/>
  <c r="O12" i="2"/>
  <c r="N12" i="2"/>
  <c r="L12" i="2"/>
  <c r="K12" i="2"/>
  <c r="I12" i="2"/>
  <c r="H12" i="2"/>
  <c r="E13" i="2" s="1"/>
  <c r="U9" i="2"/>
  <c r="T9" i="2"/>
  <c r="R9" i="2"/>
  <c r="Q9" i="2"/>
  <c r="O9" i="2"/>
  <c r="N9" i="2"/>
  <c r="L9" i="2"/>
  <c r="K9" i="2"/>
  <c r="I9" i="2"/>
  <c r="H9" i="2"/>
  <c r="E10" i="2" s="1"/>
  <c r="U6" i="2"/>
  <c r="T6" i="2"/>
  <c r="R6" i="2"/>
  <c r="Q6" i="2"/>
  <c r="O6" i="2"/>
  <c r="N6" i="2"/>
  <c r="L6" i="2"/>
  <c r="K6" i="2"/>
  <c r="I6" i="2"/>
  <c r="H6" i="2"/>
  <c r="E7" i="2" s="1"/>
  <c r="U3" i="2"/>
  <c r="T3" i="2"/>
  <c r="Q3" i="2"/>
  <c r="O3" i="2"/>
  <c r="K3" i="2"/>
  <c r="I3" i="2"/>
  <c r="R3" i="2"/>
  <c r="L3" i="2"/>
  <c r="N3" i="2"/>
  <c r="H3" i="2"/>
  <c r="E4" i="2" s="1"/>
  <c r="G12" i="1"/>
  <c r="F12" i="1"/>
  <c r="E12" i="1"/>
  <c r="D12" i="1"/>
  <c r="G11" i="1"/>
  <c r="F11" i="1"/>
  <c r="E11" i="1"/>
  <c r="D11" i="1"/>
  <c r="G10" i="1"/>
  <c r="F10" i="1"/>
  <c r="E10" i="1"/>
  <c r="D10" i="1"/>
  <c r="G9" i="1"/>
  <c r="F9" i="1"/>
  <c r="E9" i="1"/>
  <c r="D9" i="1"/>
  <c r="G8" i="1"/>
  <c r="F8" i="1"/>
  <c r="E8" i="1"/>
  <c r="D8" i="1"/>
  <c r="G7" i="1"/>
  <c r="F7" i="1"/>
  <c r="E7" i="1"/>
  <c r="D7" i="1"/>
  <c r="G6" i="1"/>
  <c r="F6" i="1"/>
  <c r="E6" i="1"/>
  <c r="D6" i="1"/>
  <c r="G5" i="1"/>
  <c r="F5" i="1"/>
  <c r="E5" i="1"/>
  <c r="D5" i="1"/>
  <c r="G4" i="1"/>
  <c r="F4" i="1"/>
  <c r="E4" i="1"/>
  <c r="D4" i="1"/>
  <c r="G3" i="1"/>
  <c r="F3" i="1"/>
  <c r="E3" i="1"/>
  <c r="D3" i="1"/>
</calcChain>
</file>

<file path=xl/sharedStrings.xml><?xml version="1.0" encoding="utf-8"?>
<sst xmlns="http://schemas.openxmlformats.org/spreadsheetml/2006/main" count="31" uniqueCount="29">
  <si>
    <t>AETHON</t>
  </si>
  <si>
    <t>System</t>
  </si>
  <si>
    <t>Text-X</t>
  </si>
  <si>
    <t>Text-Y</t>
  </si>
  <si>
    <t>Image-X</t>
  </si>
  <si>
    <t>Image-Y</t>
  </si>
  <si>
    <t>KHIONE</t>
  </si>
  <si>
    <t>DRAKE</t>
  </si>
  <si>
    <t>UNION</t>
  </si>
  <si>
    <t>ZHARKOV</t>
  </si>
  <si>
    <t>USHAK SANCTUARY</t>
  </si>
  <si>
    <t>CETO</t>
  </si>
  <si>
    <t>KHAIT NEBULA</t>
  </si>
  <si>
    <t>KHAIT DOMINION</t>
  </si>
  <si>
    <t>RHAK HOMEWORLDS</t>
  </si>
  <si>
    <t>Path-X</t>
  </si>
  <si>
    <t>Path-Y</t>
  </si>
  <si>
    <t>Sector</t>
  </si>
  <si>
    <t>Poly 1</t>
  </si>
  <si>
    <t>Poly 2</t>
  </si>
  <si>
    <t>Poly 3</t>
  </si>
  <si>
    <t>Poly 4</t>
  </si>
  <si>
    <t>Poly 5</t>
  </si>
  <si>
    <t>Poly 6</t>
  </si>
  <si>
    <t>Poly 7</t>
  </si>
  <si>
    <t>Poly 8</t>
  </si>
  <si>
    <t>Größe</t>
  </si>
  <si>
    <t>Center-X</t>
  </si>
  <si>
    <t>Center-Y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</si>
</sst>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onsolas"/>
      <family val="3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2"/>
  <sheetViews>
    <sheetView view="pageLayout" zoomScaleNormal="100" workbookViewId="0"/>
  </sheetViews>
  <sheetFormatPr baseColWidth="10" defaultColWidth="9.140625" defaultRowHeight="15" x14ac:dyDescent="0.25"/>
  <cols>
    <col min="1" max="1" width="20.28515625" style="2" customWidth="1"/>
    <col min="2" max="7" width="10.140625" style="2" customWidth="1"/>
    <col min="8" max="20" width="9.140625" style="2"/>
  </cols>
  <sheetData>
    <row r="1" spans="1:7" x14ac:dyDescent="0.25">
      <c r="A1" s="2" t="s">
        <v>17</v>
      </c>
      <c r="B1" s="2" t="s">
        <v>4</v>
      </c>
      <c r="C1" s="2" t="s">
        <v>5</v>
      </c>
      <c r="D1" s="2" t="s">
        <v>2</v>
      </c>
      <c r="E1" s="2" t="s">
        <v>3</v>
      </c>
      <c r="F1" s="2" t="s">
        <v>15</v>
      </c>
      <c r="G1" s="2" t="s">
        <v>16</v>
      </c>
    </row>
    <row r="2" spans="1:7" ht="8.4499999999999993" customHeight="1" x14ac:dyDescent="0.25"/>
    <row r="3" spans="1:7" x14ac:dyDescent="0.25">
      <c r="A3" s="1" t="s">
        <v>0</v>
      </c>
      <c r="B3" s="2">
        <v>281</v>
      </c>
      <c r="C3" s="2">
        <v>112</v>
      </c>
      <c r="D3" s="2">
        <f>B3+40</f>
        <v>321</v>
      </c>
      <c r="E3" s="2">
        <f>C3+94</f>
        <v>206</v>
      </c>
      <c r="F3" s="2">
        <f>B3+40</f>
        <v>321</v>
      </c>
      <c r="G3" s="2">
        <f>C3+40</f>
        <v>152</v>
      </c>
    </row>
    <row r="4" spans="1:7" x14ac:dyDescent="0.25">
      <c r="A4" s="2" t="s">
        <v>6</v>
      </c>
      <c r="B4" s="2">
        <v>698</v>
      </c>
      <c r="C4" s="2">
        <v>100</v>
      </c>
      <c r="D4" s="2">
        <f t="shared" ref="D4:D12" si="0">B4+40</f>
        <v>738</v>
      </c>
      <c r="E4" s="2">
        <f t="shared" ref="E4:E12" si="1">C4+94</f>
        <v>194</v>
      </c>
      <c r="F4" s="2">
        <f t="shared" ref="F4:G12" si="2">B4+40</f>
        <v>738</v>
      </c>
      <c r="G4" s="2">
        <f t="shared" si="2"/>
        <v>140</v>
      </c>
    </row>
    <row r="5" spans="1:7" x14ac:dyDescent="0.25">
      <c r="A5" s="2" t="s">
        <v>7</v>
      </c>
      <c r="B5" s="2">
        <v>42</v>
      </c>
      <c r="C5" s="2">
        <v>459</v>
      </c>
      <c r="D5" s="2">
        <f t="shared" si="0"/>
        <v>82</v>
      </c>
      <c r="E5" s="2">
        <f t="shared" si="1"/>
        <v>553</v>
      </c>
      <c r="F5" s="2">
        <f t="shared" si="2"/>
        <v>82</v>
      </c>
      <c r="G5" s="2">
        <f t="shared" si="2"/>
        <v>499</v>
      </c>
    </row>
    <row r="6" spans="1:7" x14ac:dyDescent="0.25">
      <c r="A6" s="2" t="s">
        <v>8</v>
      </c>
      <c r="B6" s="2">
        <v>426</v>
      </c>
      <c r="C6" s="2">
        <v>484</v>
      </c>
      <c r="D6" s="2">
        <f t="shared" si="0"/>
        <v>466</v>
      </c>
      <c r="E6" s="2">
        <f t="shared" si="1"/>
        <v>578</v>
      </c>
      <c r="F6" s="2">
        <f t="shared" si="2"/>
        <v>466</v>
      </c>
      <c r="G6" s="2">
        <f t="shared" si="2"/>
        <v>524</v>
      </c>
    </row>
    <row r="7" spans="1:7" x14ac:dyDescent="0.25">
      <c r="A7" s="2" t="s">
        <v>9</v>
      </c>
      <c r="B7" s="2">
        <v>861</v>
      </c>
      <c r="C7" s="2">
        <v>438</v>
      </c>
      <c r="D7" s="2">
        <f t="shared" si="0"/>
        <v>901</v>
      </c>
      <c r="E7" s="2">
        <f t="shared" si="1"/>
        <v>532</v>
      </c>
      <c r="F7" s="2">
        <f t="shared" si="2"/>
        <v>901</v>
      </c>
      <c r="G7" s="2">
        <f t="shared" si="2"/>
        <v>478</v>
      </c>
    </row>
    <row r="8" spans="1:7" x14ac:dyDescent="0.25">
      <c r="A8" s="2" t="s">
        <v>10</v>
      </c>
      <c r="B8" s="2">
        <v>1412</v>
      </c>
      <c r="C8" s="2">
        <v>227</v>
      </c>
      <c r="D8" s="2">
        <f t="shared" si="0"/>
        <v>1452</v>
      </c>
      <c r="E8" s="2">
        <f t="shared" si="1"/>
        <v>321</v>
      </c>
      <c r="F8" s="2">
        <f t="shared" si="2"/>
        <v>1452</v>
      </c>
      <c r="G8" s="2">
        <f t="shared" si="2"/>
        <v>267</v>
      </c>
    </row>
    <row r="9" spans="1:7" x14ac:dyDescent="0.25">
      <c r="A9" s="2" t="s">
        <v>11</v>
      </c>
      <c r="B9" s="2">
        <v>266</v>
      </c>
      <c r="C9" s="2">
        <v>922</v>
      </c>
      <c r="D9" s="2">
        <f t="shared" si="0"/>
        <v>306</v>
      </c>
      <c r="E9" s="2">
        <f t="shared" si="1"/>
        <v>1016</v>
      </c>
      <c r="F9" s="2">
        <f t="shared" si="2"/>
        <v>306</v>
      </c>
      <c r="G9" s="2">
        <f t="shared" si="2"/>
        <v>962</v>
      </c>
    </row>
    <row r="10" spans="1:7" x14ac:dyDescent="0.25">
      <c r="A10" s="2" t="s">
        <v>12</v>
      </c>
      <c r="B10" s="2">
        <v>912</v>
      </c>
      <c r="C10" s="2">
        <v>826</v>
      </c>
      <c r="D10" s="2">
        <f t="shared" si="0"/>
        <v>952</v>
      </c>
      <c r="E10" s="2">
        <f t="shared" si="1"/>
        <v>920</v>
      </c>
      <c r="F10" s="2">
        <f t="shared" si="2"/>
        <v>952</v>
      </c>
      <c r="G10" s="2">
        <f t="shared" si="2"/>
        <v>866</v>
      </c>
    </row>
    <row r="11" spans="1:7" x14ac:dyDescent="0.25">
      <c r="A11" s="2" t="s">
        <v>13</v>
      </c>
      <c r="B11" s="2">
        <v>1286</v>
      </c>
      <c r="C11" s="2">
        <v>755</v>
      </c>
      <c r="D11" s="2">
        <f t="shared" si="0"/>
        <v>1326</v>
      </c>
      <c r="E11" s="2">
        <f t="shared" si="1"/>
        <v>849</v>
      </c>
      <c r="F11" s="2">
        <f t="shared" si="2"/>
        <v>1326</v>
      </c>
      <c r="G11" s="2">
        <f t="shared" si="2"/>
        <v>795</v>
      </c>
    </row>
    <row r="12" spans="1:7" x14ac:dyDescent="0.25">
      <c r="A12" s="2" t="s">
        <v>14</v>
      </c>
      <c r="B12" s="2">
        <v>1504</v>
      </c>
      <c r="C12" s="2">
        <v>498</v>
      </c>
      <c r="D12" s="2">
        <f t="shared" si="0"/>
        <v>1544</v>
      </c>
      <c r="E12" s="2">
        <f t="shared" si="1"/>
        <v>592</v>
      </c>
      <c r="F12" s="2">
        <f t="shared" si="2"/>
        <v>1544</v>
      </c>
      <c r="G12" s="2">
        <f t="shared" si="2"/>
        <v>538</v>
      </c>
    </row>
  </sheetData>
  <pageMargins left="0.7" right="0.7" top="0.75" bottom="0.75" header="0.3" footer="0.3"/>
  <pageSetup paperSize="9" orientation="landscape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8B509-92C9-4A57-86A0-0F98D157BAD0}">
  <dimension ref="A1:Y29"/>
  <sheetViews>
    <sheetView tabSelected="1" view="pageLayout" zoomScaleNormal="100" workbookViewId="0">
      <selection activeCell="A3" sqref="A3"/>
    </sheetView>
  </sheetViews>
  <sheetFormatPr baseColWidth="10" defaultColWidth="9.140625" defaultRowHeight="15" x14ac:dyDescent="0.25"/>
  <cols>
    <col min="1" max="1" width="15.140625" style="2" customWidth="1"/>
    <col min="2" max="2" width="1.42578125" style="2" customWidth="1"/>
    <col min="3" max="3" width="8" style="2" customWidth="1"/>
    <col min="4" max="4" width="1.42578125" style="2" customWidth="1"/>
    <col min="5" max="6" width="8" style="2" customWidth="1"/>
    <col min="7" max="7" width="1.42578125" style="2" customWidth="1"/>
    <col min="8" max="9" width="8" style="2" customWidth="1"/>
    <col min="10" max="10" width="1.42578125" style="2" customWidth="1"/>
    <col min="11" max="12" width="8" style="2" customWidth="1"/>
    <col min="13" max="13" width="1.42578125" style="2" customWidth="1"/>
    <col min="14" max="15" width="8" style="2" customWidth="1"/>
    <col min="16" max="16" width="1.42578125" style="2" customWidth="1"/>
    <col min="17" max="18" width="8" style="2" customWidth="1"/>
    <col min="19" max="19" width="1.42578125" style="2" customWidth="1"/>
    <col min="20" max="21" width="8" style="2" customWidth="1"/>
    <col min="22" max="22" width="1.42578125" style="2" customWidth="1"/>
    <col min="23" max="25" width="9.140625" style="2"/>
  </cols>
  <sheetData>
    <row r="1" spans="1:21" x14ac:dyDescent="0.25">
      <c r="A1" s="2" t="s">
        <v>1</v>
      </c>
      <c r="C1" s="2" t="s">
        <v>26</v>
      </c>
      <c r="E1" s="2" t="s">
        <v>27</v>
      </c>
      <c r="F1" s="2" t="s">
        <v>28</v>
      </c>
      <c r="H1" s="2" t="s">
        <v>18</v>
      </c>
      <c r="I1" s="2" t="s">
        <v>19</v>
      </c>
      <c r="K1" s="2" t="s">
        <v>20</v>
      </c>
      <c r="L1" s="2" t="s">
        <v>21</v>
      </c>
      <c r="N1" s="2" t="s">
        <v>22</v>
      </c>
      <c r="O1" s="2" t="s">
        <v>23</v>
      </c>
      <c r="Q1" s="2" t="s">
        <v>24</v>
      </c>
      <c r="R1" s="2" t="s">
        <v>25</v>
      </c>
      <c r="T1" s="2" t="s">
        <v>2</v>
      </c>
      <c r="U1" s="2" t="s">
        <v>3</v>
      </c>
    </row>
    <row r="2" spans="1:21" ht="8.4499999999999993" customHeight="1" x14ac:dyDescent="0.25"/>
    <row r="3" spans="1:21" s="2" customFormat="1" x14ac:dyDescent="0.25">
      <c r="A3" s="1"/>
      <c r="B3" s="1"/>
      <c r="C3" s="1">
        <v>40</v>
      </c>
      <c r="D3" s="1"/>
      <c r="E3" s="2">
        <v>600</v>
      </c>
      <c r="F3" s="2">
        <v>68</v>
      </c>
      <c r="H3" s="2">
        <f>E3</f>
        <v>600</v>
      </c>
      <c r="I3" s="2">
        <f>F3-(C3/2)</f>
        <v>48</v>
      </c>
      <c r="K3" s="2">
        <f>E3+(C3/2)</f>
        <v>620</v>
      </c>
      <c r="L3" s="2">
        <f>F3</f>
        <v>68</v>
      </c>
      <c r="N3" s="2">
        <f>E3</f>
        <v>600</v>
      </c>
      <c r="O3" s="2">
        <f>F3+(C3/2)</f>
        <v>88</v>
      </c>
      <c r="Q3" s="2">
        <f>E3-(C3/2)</f>
        <v>580</v>
      </c>
      <c r="R3" s="2">
        <f>F3</f>
        <v>68</v>
      </c>
      <c r="T3" s="2">
        <f>E3</f>
        <v>600</v>
      </c>
      <c r="U3" s="2">
        <f>F3+C3</f>
        <v>108</v>
      </c>
    </row>
    <row r="4" spans="1:21" s="2" customFormat="1" x14ac:dyDescent="0.25">
      <c r="A4" s="1"/>
      <c r="B4" s="1"/>
      <c r="C4" s="1"/>
      <c r="D4" s="1"/>
      <c r="E4" s="3" t="str">
        <f>H3&amp;","&amp;I3&amp;" "&amp;K3&amp;","&amp;L3&amp;" "&amp;N3&amp;","&amp;O3&amp;" "&amp;Q3&amp;","&amp;R3</f>
        <v>600,48 620,68 600,88 580,68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21" s="2" customFormat="1" ht="8.4499999999999993" customHeight="1" x14ac:dyDescent="0.25">
      <c r="A5" s="1"/>
      <c r="B5" s="1"/>
      <c r="C5" s="1"/>
      <c r="D5" s="1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</row>
    <row r="6" spans="1:21" s="2" customFormat="1" x14ac:dyDescent="0.25">
      <c r="A6" s="1"/>
      <c r="B6" s="1"/>
      <c r="C6" s="1">
        <v>40</v>
      </c>
      <c r="D6" s="1"/>
      <c r="E6" s="2">
        <v>600</v>
      </c>
      <c r="F6" s="2">
        <v>68</v>
      </c>
      <c r="H6" s="2">
        <f>E6</f>
        <v>600</v>
      </c>
      <c r="I6" s="2">
        <f>F6-(C6/2)</f>
        <v>48</v>
      </c>
      <c r="K6" s="2">
        <f>E6+(C6/2)</f>
        <v>620</v>
      </c>
      <c r="L6" s="2">
        <f>F6</f>
        <v>68</v>
      </c>
      <c r="N6" s="2">
        <f>E6</f>
        <v>600</v>
      </c>
      <c r="O6" s="2">
        <f>F6+(C6/2)</f>
        <v>88</v>
      </c>
      <c r="Q6" s="2">
        <f>E6-(C6/2)</f>
        <v>580</v>
      </c>
      <c r="R6" s="2">
        <f>F6</f>
        <v>68</v>
      </c>
      <c r="T6" s="2">
        <f>E6</f>
        <v>600</v>
      </c>
      <c r="U6" s="2">
        <f>F6+C6</f>
        <v>108</v>
      </c>
    </row>
    <row r="7" spans="1:21" s="2" customFormat="1" x14ac:dyDescent="0.25">
      <c r="A7" s="1"/>
      <c r="B7" s="1"/>
      <c r="C7" s="1"/>
      <c r="D7" s="1"/>
      <c r="E7" s="3" t="str">
        <f>H6&amp;","&amp;I6&amp;" "&amp;K6&amp;","&amp;L6&amp;" "&amp;N6&amp;","&amp;O6&amp;" "&amp;Q6&amp;","&amp;R6</f>
        <v>600,48 620,68 600,88 580,68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1" s="2" customFormat="1" ht="8.4499999999999993" customHeight="1" x14ac:dyDescent="0.25"/>
    <row r="9" spans="1:21" s="2" customFormat="1" x14ac:dyDescent="0.25">
      <c r="A9" s="1"/>
      <c r="B9" s="1"/>
      <c r="C9" s="1">
        <v>40</v>
      </c>
      <c r="D9" s="1"/>
      <c r="E9" s="2">
        <v>600</v>
      </c>
      <c r="F9" s="2">
        <v>68</v>
      </c>
      <c r="H9" s="2">
        <f>E9</f>
        <v>600</v>
      </c>
      <c r="I9" s="2">
        <f>F9-(C9/2)</f>
        <v>48</v>
      </c>
      <c r="K9" s="2">
        <f>E9+(C9/2)</f>
        <v>620</v>
      </c>
      <c r="L9" s="2">
        <f>F9</f>
        <v>68</v>
      </c>
      <c r="N9" s="2">
        <f>E9</f>
        <v>600</v>
      </c>
      <c r="O9" s="2">
        <f>F9+(C9/2)</f>
        <v>88</v>
      </c>
      <c r="Q9" s="2">
        <f>E9-(C9/2)</f>
        <v>580</v>
      </c>
      <c r="R9" s="2">
        <f>F9</f>
        <v>68</v>
      </c>
      <c r="T9" s="2">
        <f>E9</f>
        <v>600</v>
      </c>
      <c r="U9" s="2">
        <f>F9+C9</f>
        <v>108</v>
      </c>
    </row>
    <row r="10" spans="1:21" s="2" customFormat="1" x14ac:dyDescent="0.25">
      <c r="A10" s="1"/>
      <c r="B10" s="1"/>
      <c r="C10" s="1"/>
      <c r="D10" s="1"/>
      <c r="E10" s="3" t="str">
        <f>H9&amp;","&amp;I9&amp;" "&amp;K9&amp;","&amp;L9&amp;" "&amp;N9&amp;","&amp;O9&amp;" "&amp;Q9&amp;","&amp;R9</f>
        <v>600,48 620,68 600,88 580,68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</row>
    <row r="11" spans="1:21" s="2" customFormat="1" ht="8.4499999999999993" customHeight="1" x14ac:dyDescent="0.25"/>
    <row r="12" spans="1:21" s="2" customFormat="1" x14ac:dyDescent="0.25">
      <c r="A12" s="1"/>
      <c r="B12" s="1"/>
      <c r="C12" s="1">
        <v>40</v>
      </c>
      <c r="D12" s="1"/>
      <c r="E12" s="2">
        <v>600</v>
      </c>
      <c r="F12" s="2">
        <v>68</v>
      </c>
      <c r="H12" s="2">
        <f>E12</f>
        <v>600</v>
      </c>
      <c r="I12" s="2">
        <f>F12-(C12/2)</f>
        <v>48</v>
      </c>
      <c r="K12" s="2">
        <f>E12+(C12/2)</f>
        <v>620</v>
      </c>
      <c r="L12" s="2">
        <f>F12</f>
        <v>68</v>
      </c>
      <c r="N12" s="2">
        <f>E12</f>
        <v>600</v>
      </c>
      <c r="O12" s="2">
        <f>F12+(C12/2)</f>
        <v>88</v>
      </c>
      <c r="Q12" s="2">
        <f>E12-(C12/2)</f>
        <v>580</v>
      </c>
      <c r="R12" s="2">
        <f>F12</f>
        <v>68</v>
      </c>
      <c r="T12" s="2">
        <f>E12</f>
        <v>600</v>
      </c>
      <c r="U12" s="2">
        <f>F12+C12</f>
        <v>108</v>
      </c>
    </row>
    <row r="13" spans="1:21" s="2" customFormat="1" x14ac:dyDescent="0.25">
      <c r="A13" s="1"/>
      <c r="B13" s="1"/>
      <c r="C13" s="1"/>
      <c r="D13" s="1"/>
      <c r="E13" s="3" t="str">
        <f>H12&amp;","&amp;I12&amp;" "&amp;K12&amp;","&amp;L12&amp;" "&amp;N12&amp;","&amp;O12&amp;" "&amp;Q12&amp;","&amp;R12</f>
        <v>600,48 620,68 600,88 580,68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1" s="2" customFormat="1" ht="8.4499999999999993" customHeight="1" x14ac:dyDescent="0.25"/>
    <row r="15" spans="1:21" x14ac:dyDescent="0.25">
      <c r="A15" s="1"/>
      <c r="B15" s="1"/>
      <c r="C15" s="1">
        <v>40</v>
      </c>
      <c r="D15" s="1"/>
      <c r="E15" s="2">
        <v>600</v>
      </c>
      <c r="F15" s="2">
        <v>68</v>
      </c>
      <c r="H15" s="2">
        <f>E15</f>
        <v>600</v>
      </c>
      <c r="I15" s="2">
        <f>F15-(C15/2)</f>
        <v>48</v>
      </c>
      <c r="K15" s="2">
        <f>E15+(C15/2)</f>
        <v>620</v>
      </c>
      <c r="L15" s="2">
        <f>F15</f>
        <v>68</v>
      </c>
      <c r="N15" s="2">
        <f>E15</f>
        <v>600</v>
      </c>
      <c r="O15" s="2">
        <f>F15+(C15/2)</f>
        <v>88</v>
      </c>
      <c r="Q15" s="2">
        <f>E15-(C15/2)</f>
        <v>580</v>
      </c>
      <c r="R15" s="2">
        <f>F15</f>
        <v>68</v>
      </c>
      <c r="T15" s="2">
        <f>E15</f>
        <v>600</v>
      </c>
      <c r="U15" s="2">
        <f>F15+C15</f>
        <v>108</v>
      </c>
    </row>
    <row r="16" spans="1:21" x14ac:dyDescent="0.25">
      <c r="A16" s="1"/>
      <c r="B16" s="1"/>
      <c r="C16" s="1"/>
      <c r="D16" s="1"/>
      <c r="E16" s="3" t="str">
        <f>H15&amp;","&amp;I15&amp;" "&amp;K15&amp;","&amp;L15&amp;" "&amp;N15&amp;","&amp;O15&amp;" "&amp;Q15&amp;","&amp;R15</f>
        <v>600,48 620,68 600,88 580,68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21" ht="8.4499999999999993" customHeight="1" x14ac:dyDescent="0.25"/>
    <row r="18" spans="1:21" x14ac:dyDescent="0.25">
      <c r="A18" s="1"/>
      <c r="B18" s="1"/>
      <c r="C18" s="1">
        <v>40</v>
      </c>
      <c r="D18" s="1"/>
      <c r="E18" s="2">
        <v>600</v>
      </c>
      <c r="F18" s="2">
        <v>68</v>
      </c>
      <c r="H18" s="2">
        <f>E18</f>
        <v>600</v>
      </c>
      <c r="I18" s="2">
        <f>F18-(C18/2)</f>
        <v>48</v>
      </c>
      <c r="K18" s="2">
        <f>E18+(C18/2)</f>
        <v>620</v>
      </c>
      <c r="L18" s="2">
        <f>F18</f>
        <v>68</v>
      </c>
      <c r="N18" s="2">
        <f>E18</f>
        <v>600</v>
      </c>
      <c r="O18" s="2">
        <f>F18+(C18/2)</f>
        <v>88</v>
      </c>
      <c r="Q18" s="2">
        <f>E18-(C18/2)</f>
        <v>580</v>
      </c>
      <c r="R18" s="2">
        <f>F18</f>
        <v>68</v>
      </c>
      <c r="T18" s="2">
        <f>E18</f>
        <v>600</v>
      </c>
      <c r="U18" s="2">
        <f>F18+C18</f>
        <v>108</v>
      </c>
    </row>
    <row r="19" spans="1:21" x14ac:dyDescent="0.25">
      <c r="A19" s="1"/>
      <c r="B19" s="1"/>
      <c r="C19" s="1"/>
      <c r="D19" s="1"/>
      <c r="E19" s="3" t="str">
        <f>H18&amp;","&amp;I18&amp;" "&amp;K18&amp;","&amp;L18&amp;" "&amp;N18&amp;","&amp;O18&amp;" "&amp;Q18&amp;","&amp;R18</f>
        <v>600,48 620,68 600,88 580,68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1" ht="8.4499999999999993" customHeight="1" x14ac:dyDescent="0.25"/>
    <row r="21" spans="1:21" x14ac:dyDescent="0.25">
      <c r="A21" s="1"/>
      <c r="B21" s="1"/>
      <c r="C21" s="1">
        <v>40</v>
      </c>
      <c r="D21" s="1"/>
      <c r="E21" s="2">
        <v>600</v>
      </c>
      <c r="F21" s="2">
        <v>68</v>
      </c>
      <c r="H21" s="2">
        <f>E21</f>
        <v>600</v>
      </c>
      <c r="I21" s="2">
        <f>F21-(C21/2)</f>
        <v>48</v>
      </c>
      <c r="K21" s="2">
        <f>E21+(C21/2)</f>
        <v>620</v>
      </c>
      <c r="L21" s="2">
        <f>F21</f>
        <v>68</v>
      </c>
      <c r="N21" s="2">
        <f>E21</f>
        <v>600</v>
      </c>
      <c r="O21" s="2">
        <f>F21+(C21/2)</f>
        <v>88</v>
      </c>
      <c r="Q21" s="2">
        <f>E21-(C21/2)</f>
        <v>580</v>
      </c>
      <c r="R21" s="2">
        <f>F21</f>
        <v>68</v>
      </c>
      <c r="T21" s="2">
        <f>E21</f>
        <v>600</v>
      </c>
      <c r="U21" s="2">
        <f>F21+C21</f>
        <v>108</v>
      </c>
    </row>
    <row r="22" spans="1:21" x14ac:dyDescent="0.25">
      <c r="A22" s="1"/>
      <c r="B22" s="1"/>
      <c r="C22" s="1"/>
      <c r="D22" s="1"/>
      <c r="E22" s="3" t="str">
        <f>H21&amp;","&amp;I21&amp;" "&amp;K21&amp;","&amp;L21&amp;" "&amp;N21&amp;","&amp;O21&amp;" "&amp;Q21&amp;","&amp;R21</f>
        <v>600,48 620,68 600,88 580,68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21" ht="8.4499999999999993" customHeight="1" x14ac:dyDescent="0.25"/>
    <row r="24" spans="1:21" x14ac:dyDescent="0.25">
      <c r="A24" s="1"/>
      <c r="B24" s="1"/>
      <c r="C24" s="1">
        <v>40</v>
      </c>
      <c r="D24" s="1"/>
      <c r="E24" s="2">
        <v>600</v>
      </c>
      <c r="F24" s="2">
        <v>68</v>
      </c>
      <c r="H24" s="2">
        <f>E24</f>
        <v>600</v>
      </c>
      <c r="I24" s="2">
        <f>F24-(C24/2)</f>
        <v>48</v>
      </c>
      <c r="K24" s="2">
        <f>E24+(C24/2)</f>
        <v>620</v>
      </c>
      <c r="L24" s="2">
        <f>F24</f>
        <v>68</v>
      </c>
      <c r="N24" s="2">
        <f>E24</f>
        <v>600</v>
      </c>
      <c r="O24" s="2">
        <f>F24+(C24/2)</f>
        <v>88</v>
      </c>
      <c r="Q24" s="2">
        <f>E24-(C24/2)</f>
        <v>580</v>
      </c>
      <c r="R24" s="2">
        <f>F24</f>
        <v>68</v>
      </c>
      <c r="T24" s="2">
        <f>E24</f>
        <v>600</v>
      </c>
      <c r="U24" s="2">
        <f>F24+C24</f>
        <v>108</v>
      </c>
    </row>
    <row r="25" spans="1:21" x14ac:dyDescent="0.25">
      <c r="A25" s="1"/>
      <c r="B25" s="1"/>
      <c r="C25" s="1"/>
      <c r="D25" s="1"/>
      <c r="E25" s="3" t="str">
        <f>H24&amp;","&amp;I24&amp;" "&amp;K24&amp;","&amp;L24&amp;" "&amp;N24&amp;","&amp;O24&amp;" "&amp;Q24&amp;","&amp;R24</f>
        <v>600,48 620,68 600,88 580,68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21" ht="8.4499999999999993" customHeight="1" x14ac:dyDescent="0.25"/>
    <row r="27" spans="1:21" x14ac:dyDescent="0.25">
      <c r="A27" s="1"/>
      <c r="B27" s="1"/>
      <c r="C27" s="1">
        <v>40</v>
      </c>
      <c r="D27" s="1"/>
      <c r="E27" s="2">
        <v>600</v>
      </c>
      <c r="F27" s="2">
        <v>68</v>
      </c>
      <c r="H27" s="2">
        <f>E27</f>
        <v>600</v>
      </c>
      <c r="I27" s="2">
        <f>F27-(C27/2)</f>
        <v>48</v>
      </c>
      <c r="K27" s="2">
        <f>E27+(C27/2)</f>
        <v>620</v>
      </c>
      <c r="L27" s="2">
        <f>F27</f>
        <v>68</v>
      </c>
      <c r="N27" s="2">
        <f>E27</f>
        <v>600</v>
      </c>
      <c r="O27" s="2">
        <f>F27+(C27/2)</f>
        <v>88</v>
      </c>
      <c r="Q27" s="2">
        <f>E27-(C27/2)</f>
        <v>580</v>
      </c>
      <c r="R27" s="2">
        <f>F27</f>
        <v>68</v>
      </c>
      <c r="T27" s="2">
        <f>E27</f>
        <v>600</v>
      </c>
      <c r="U27" s="2">
        <f>F27+C27</f>
        <v>108</v>
      </c>
    </row>
    <row r="28" spans="1:21" x14ac:dyDescent="0.25">
      <c r="A28" s="1"/>
      <c r="B28" s="1"/>
      <c r="C28" s="1"/>
      <c r="D28" s="1"/>
      <c r="E28" s="3" t="str">
        <f>H27&amp;","&amp;I27&amp;" "&amp;K27&amp;","&amp;L27&amp;" "&amp;N27&amp;","&amp;O27&amp;" "&amp;Q27&amp;","&amp;R27</f>
        <v>600,48 620,68 600,88 580,68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1" ht="8.4499999999999993" customHeight="1" x14ac:dyDescent="0.25"/>
  </sheetData>
  <mergeCells count="9">
    <mergeCell ref="E22:R22"/>
    <mergeCell ref="E25:R25"/>
    <mergeCell ref="E28:R28"/>
    <mergeCell ref="E4:R4"/>
    <mergeCell ref="E7:R7"/>
    <mergeCell ref="E10:R10"/>
    <mergeCell ref="E13:R13"/>
    <mergeCell ref="E16:R16"/>
    <mergeCell ref="E19:R19"/>
  </mergeCells>
  <pageMargins left="0.7" right="0.7" top="0.75" bottom="0.75" header="0.3" footer="0.3"/>
  <pageSetup paperSize="9"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System</vt:lpstr>
      <vt:lpstr>Ceto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Bey, Mario</cp:lastModifiedBy>
  <dcterms:created xsi:type="dcterms:W3CDTF">2015-06-05T18:19:34Z</dcterms:created>
  <dcterms:modified xsi:type="dcterms:W3CDTF">2026-03-24T13:23:01Z</dcterms:modified>
</cp:coreProperties>
</file>