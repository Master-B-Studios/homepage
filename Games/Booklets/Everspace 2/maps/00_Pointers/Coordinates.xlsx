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.bey\Documents\GitHub\homepage\Games\Booklets\Everspace 2\maps\00_Pointers\"/>
    </mc:Choice>
  </mc:AlternateContent>
  <xr:revisionPtr revIDLastSave="0" documentId="13_ncr:1_{4D022CD8-738F-40FE-BAFB-01DAC30DAD9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ystem" sheetId="1" r:id="rId1"/>
    <sheet name="Ceto" sheetId="2" r:id="rId2"/>
    <sheet name="Ceto (2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06" i="3" l="1"/>
  <c r="R406" i="3"/>
  <c r="P406" i="3"/>
  <c r="O406" i="3"/>
  <c r="M406" i="3"/>
  <c r="L406" i="3"/>
  <c r="J406" i="3"/>
  <c r="I406" i="3"/>
  <c r="I405" i="3"/>
  <c r="B409" i="3" s="1"/>
  <c r="J402" i="3"/>
  <c r="M402" i="3" s="1"/>
  <c r="P402" i="3" s="1"/>
  <c r="S402" i="3" s="1"/>
  <c r="I402" i="3"/>
  <c r="L402" i="3" s="1"/>
  <c r="O402" i="3" s="1"/>
  <c r="R402" i="3" s="1"/>
  <c r="S395" i="3"/>
  <c r="R395" i="3"/>
  <c r="P395" i="3"/>
  <c r="O395" i="3"/>
  <c r="M395" i="3"/>
  <c r="L395" i="3"/>
  <c r="J395" i="3"/>
  <c r="I395" i="3"/>
  <c r="I394" i="3" s="1"/>
  <c r="B398" i="3" s="1"/>
  <c r="L391" i="3"/>
  <c r="O391" i="3" s="1"/>
  <c r="R391" i="3" s="1"/>
  <c r="J391" i="3"/>
  <c r="M391" i="3" s="1"/>
  <c r="P391" i="3" s="1"/>
  <c r="S391" i="3" s="1"/>
  <c r="I391" i="3"/>
  <c r="S384" i="3"/>
  <c r="R384" i="3"/>
  <c r="P384" i="3"/>
  <c r="O384" i="3"/>
  <c r="M384" i="3"/>
  <c r="L384" i="3"/>
  <c r="J384" i="3"/>
  <c r="I384" i="3"/>
  <c r="I383" i="3" s="1"/>
  <c r="B387" i="3" s="1"/>
  <c r="J380" i="3"/>
  <c r="M380" i="3" s="1"/>
  <c r="P380" i="3" s="1"/>
  <c r="S380" i="3" s="1"/>
  <c r="I380" i="3"/>
  <c r="L380" i="3" s="1"/>
  <c r="O380" i="3" s="1"/>
  <c r="R380" i="3" s="1"/>
  <c r="S372" i="3"/>
  <c r="R372" i="3"/>
  <c r="P372" i="3"/>
  <c r="O372" i="3"/>
  <c r="M372" i="3"/>
  <c r="L372" i="3"/>
  <c r="J372" i="3"/>
  <c r="I372" i="3"/>
  <c r="I371" i="3"/>
  <c r="B375" i="3" s="1"/>
  <c r="J368" i="3"/>
  <c r="M368" i="3" s="1"/>
  <c r="P368" i="3" s="1"/>
  <c r="S368" i="3" s="1"/>
  <c r="I368" i="3"/>
  <c r="L368" i="3" s="1"/>
  <c r="O368" i="3" s="1"/>
  <c r="R368" i="3" s="1"/>
  <c r="S361" i="3"/>
  <c r="R361" i="3"/>
  <c r="P361" i="3"/>
  <c r="O361" i="3"/>
  <c r="M361" i="3"/>
  <c r="I360" i="3" s="1"/>
  <c r="B364" i="3" s="1"/>
  <c r="L361" i="3"/>
  <c r="J361" i="3"/>
  <c r="I361" i="3"/>
  <c r="J357" i="3"/>
  <c r="M357" i="3" s="1"/>
  <c r="P357" i="3" s="1"/>
  <c r="S357" i="3" s="1"/>
  <c r="I357" i="3"/>
  <c r="L357" i="3" s="1"/>
  <c r="O357" i="3" s="1"/>
  <c r="R357" i="3" s="1"/>
  <c r="S350" i="3"/>
  <c r="R350" i="3"/>
  <c r="P350" i="3"/>
  <c r="O350" i="3"/>
  <c r="M350" i="3"/>
  <c r="L350" i="3"/>
  <c r="J350" i="3"/>
  <c r="I349" i="3" s="1"/>
  <c r="B353" i="3" s="1"/>
  <c r="I350" i="3"/>
  <c r="J346" i="3"/>
  <c r="M346" i="3" s="1"/>
  <c r="P346" i="3" s="1"/>
  <c r="S346" i="3" s="1"/>
  <c r="I346" i="3"/>
  <c r="L346" i="3" s="1"/>
  <c r="O346" i="3" s="1"/>
  <c r="R346" i="3" s="1"/>
  <c r="S338" i="3"/>
  <c r="R338" i="3"/>
  <c r="P338" i="3"/>
  <c r="O338" i="3"/>
  <c r="M338" i="3"/>
  <c r="L338" i="3"/>
  <c r="I337" i="3" s="1"/>
  <c r="B341" i="3" s="1"/>
  <c r="J338" i="3"/>
  <c r="I338" i="3"/>
  <c r="J334" i="3"/>
  <c r="M334" i="3" s="1"/>
  <c r="P334" i="3" s="1"/>
  <c r="S334" i="3" s="1"/>
  <c r="I334" i="3"/>
  <c r="L334" i="3" s="1"/>
  <c r="O334" i="3" s="1"/>
  <c r="R334" i="3" s="1"/>
  <c r="S327" i="3"/>
  <c r="R327" i="3"/>
  <c r="P327" i="3"/>
  <c r="O327" i="3"/>
  <c r="M327" i="3"/>
  <c r="L327" i="3"/>
  <c r="J327" i="3"/>
  <c r="I326" i="3" s="1"/>
  <c r="B330" i="3" s="1"/>
  <c r="I327" i="3"/>
  <c r="J323" i="3"/>
  <c r="M323" i="3" s="1"/>
  <c r="P323" i="3" s="1"/>
  <c r="S323" i="3" s="1"/>
  <c r="I323" i="3"/>
  <c r="L323" i="3" s="1"/>
  <c r="O323" i="3" s="1"/>
  <c r="R323" i="3" s="1"/>
  <c r="S316" i="3"/>
  <c r="R316" i="3"/>
  <c r="P316" i="3"/>
  <c r="O316" i="3"/>
  <c r="M316" i="3"/>
  <c r="L316" i="3"/>
  <c r="J316" i="3"/>
  <c r="I316" i="3"/>
  <c r="I315" i="3" s="1"/>
  <c r="B319" i="3" s="1"/>
  <c r="J312" i="3"/>
  <c r="M312" i="3" s="1"/>
  <c r="P312" i="3" s="1"/>
  <c r="S312" i="3" s="1"/>
  <c r="I312" i="3"/>
  <c r="L312" i="3" s="1"/>
  <c r="O312" i="3" s="1"/>
  <c r="R312" i="3" s="1"/>
  <c r="S304" i="3"/>
  <c r="R304" i="3"/>
  <c r="P304" i="3"/>
  <c r="O304" i="3"/>
  <c r="M304" i="3"/>
  <c r="L304" i="3"/>
  <c r="J304" i="3"/>
  <c r="I303" i="3" s="1"/>
  <c r="B307" i="3" s="1"/>
  <c r="I304" i="3"/>
  <c r="J300" i="3"/>
  <c r="M300" i="3" s="1"/>
  <c r="P300" i="3" s="1"/>
  <c r="S300" i="3" s="1"/>
  <c r="I300" i="3"/>
  <c r="L300" i="3" s="1"/>
  <c r="O300" i="3" s="1"/>
  <c r="R300" i="3" s="1"/>
  <c r="S293" i="3"/>
  <c r="R293" i="3"/>
  <c r="P293" i="3"/>
  <c r="O293" i="3"/>
  <c r="M293" i="3"/>
  <c r="L293" i="3"/>
  <c r="J293" i="3"/>
  <c r="I293" i="3"/>
  <c r="J289" i="3"/>
  <c r="M289" i="3" s="1"/>
  <c r="P289" i="3" s="1"/>
  <c r="S289" i="3" s="1"/>
  <c r="I289" i="3"/>
  <c r="L289" i="3" s="1"/>
  <c r="O289" i="3" s="1"/>
  <c r="R289" i="3" s="1"/>
  <c r="S282" i="3"/>
  <c r="R282" i="3"/>
  <c r="P282" i="3"/>
  <c r="O282" i="3"/>
  <c r="M282" i="3"/>
  <c r="L282" i="3"/>
  <c r="J282" i="3"/>
  <c r="I282" i="3"/>
  <c r="J278" i="3"/>
  <c r="M278" i="3" s="1"/>
  <c r="P278" i="3" s="1"/>
  <c r="S278" i="3" s="1"/>
  <c r="I278" i="3"/>
  <c r="L278" i="3" s="1"/>
  <c r="O278" i="3" s="1"/>
  <c r="R278" i="3" s="1"/>
  <c r="S270" i="3"/>
  <c r="R270" i="3"/>
  <c r="P270" i="3"/>
  <c r="O270" i="3"/>
  <c r="I269" i="3" s="1"/>
  <c r="B273" i="3" s="1"/>
  <c r="M270" i="3"/>
  <c r="L270" i="3"/>
  <c r="J270" i="3"/>
  <c r="I270" i="3"/>
  <c r="J266" i="3"/>
  <c r="M266" i="3" s="1"/>
  <c r="P266" i="3" s="1"/>
  <c r="S266" i="3" s="1"/>
  <c r="I266" i="3"/>
  <c r="L266" i="3" s="1"/>
  <c r="O266" i="3" s="1"/>
  <c r="R266" i="3" s="1"/>
  <c r="S259" i="3"/>
  <c r="R259" i="3"/>
  <c r="P259" i="3"/>
  <c r="O259" i="3"/>
  <c r="M259" i="3"/>
  <c r="L259" i="3"/>
  <c r="J259" i="3"/>
  <c r="I259" i="3"/>
  <c r="I258" i="3" s="1"/>
  <c r="B262" i="3" s="1"/>
  <c r="J255" i="3"/>
  <c r="M255" i="3" s="1"/>
  <c r="P255" i="3" s="1"/>
  <c r="S255" i="3" s="1"/>
  <c r="I255" i="3"/>
  <c r="L255" i="3" s="1"/>
  <c r="O255" i="3" s="1"/>
  <c r="R255" i="3" s="1"/>
  <c r="S248" i="3"/>
  <c r="R248" i="3"/>
  <c r="P248" i="3"/>
  <c r="O248" i="3"/>
  <c r="M248" i="3"/>
  <c r="L248" i="3"/>
  <c r="J248" i="3"/>
  <c r="I248" i="3"/>
  <c r="I247" i="3" s="1"/>
  <c r="B251" i="3" s="1"/>
  <c r="J244" i="3"/>
  <c r="M244" i="3" s="1"/>
  <c r="P244" i="3" s="1"/>
  <c r="S244" i="3" s="1"/>
  <c r="I244" i="3"/>
  <c r="L244" i="3" s="1"/>
  <c r="O244" i="3" s="1"/>
  <c r="R244" i="3" s="1"/>
  <c r="S236" i="3"/>
  <c r="R236" i="3"/>
  <c r="P236" i="3"/>
  <c r="O236" i="3"/>
  <c r="M236" i="3"/>
  <c r="L236" i="3"/>
  <c r="J236" i="3"/>
  <c r="I236" i="3"/>
  <c r="J232" i="3"/>
  <c r="M232" i="3" s="1"/>
  <c r="P232" i="3" s="1"/>
  <c r="S232" i="3" s="1"/>
  <c r="I232" i="3"/>
  <c r="L232" i="3" s="1"/>
  <c r="O232" i="3" s="1"/>
  <c r="R232" i="3" s="1"/>
  <c r="S225" i="3"/>
  <c r="R225" i="3"/>
  <c r="P225" i="3"/>
  <c r="O225" i="3"/>
  <c r="M225" i="3"/>
  <c r="L225" i="3"/>
  <c r="J225" i="3"/>
  <c r="I225" i="3"/>
  <c r="I224" i="3"/>
  <c r="B228" i="3" s="1"/>
  <c r="J221" i="3"/>
  <c r="M221" i="3" s="1"/>
  <c r="P221" i="3" s="1"/>
  <c r="S221" i="3" s="1"/>
  <c r="I221" i="3"/>
  <c r="L221" i="3" s="1"/>
  <c r="O221" i="3" s="1"/>
  <c r="R221" i="3" s="1"/>
  <c r="S214" i="3"/>
  <c r="R214" i="3"/>
  <c r="P214" i="3"/>
  <c r="O214" i="3"/>
  <c r="M214" i="3"/>
  <c r="L214" i="3"/>
  <c r="J214" i="3"/>
  <c r="I214" i="3"/>
  <c r="I213" i="3"/>
  <c r="B217" i="3" s="1"/>
  <c r="J210" i="3"/>
  <c r="M210" i="3" s="1"/>
  <c r="P210" i="3" s="1"/>
  <c r="S210" i="3" s="1"/>
  <c r="I210" i="3"/>
  <c r="L210" i="3" s="1"/>
  <c r="O210" i="3" s="1"/>
  <c r="R210" i="3" s="1"/>
  <c r="S202" i="3"/>
  <c r="R202" i="3"/>
  <c r="P202" i="3"/>
  <c r="O202" i="3"/>
  <c r="M202" i="3"/>
  <c r="L202" i="3"/>
  <c r="J202" i="3"/>
  <c r="I202" i="3"/>
  <c r="I201" i="3" s="1"/>
  <c r="B205" i="3" s="1"/>
  <c r="J198" i="3"/>
  <c r="M198" i="3" s="1"/>
  <c r="P198" i="3" s="1"/>
  <c r="S198" i="3" s="1"/>
  <c r="I198" i="3"/>
  <c r="L198" i="3" s="1"/>
  <c r="O198" i="3" s="1"/>
  <c r="R198" i="3" s="1"/>
  <c r="S191" i="3"/>
  <c r="R191" i="3"/>
  <c r="P191" i="3"/>
  <c r="O191" i="3"/>
  <c r="M191" i="3"/>
  <c r="L191" i="3"/>
  <c r="J191" i="3"/>
  <c r="I191" i="3"/>
  <c r="J187" i="3"/>
  <c r="M187" i="3" s="1"/>
  <c r="P187" i="3" s="1"/>
  <c r="S187" i="3" s="1"/>
  <c r="I187" i="3"/>
  <c r="L187" i="3" s="1"/>
  <c r="O187" i="3" s="1"/>
  <c r="R187" i="3" s="1"/>
  <c r="S180" i="3"/>
  <c r="R180" i="3"/>
  <c r="P180" i="3"/>
  <c r="O180" i="3"/>
  <c r="M180" i="3"/>
  <c r="L180" i="3"/>
  <c r="J180" i="3"/>
  <c r="I180" i="3"/>
  <c r="J176" i="3"/>
  <c r="M176" i="3" s="1"/>
  <c r="P176" i="3" s="1"/>
  <c r="S176" i="3" s="1"/>
  <c r="I176" i="3"/>
  <c r="L176" i="3" s="1"/>
  <c r="O176" i="3" s="1"/>
  <c r="R176" i="3" s="1"/>
  <c r="B137" i="3"/>
  <c r="S168" i="3"/>
  <c r="R168" i="3"/>
  <c r="P168" i="3"/>
  <c r="O168" i="3"/>
  <c r="M168" i="3"/>
  <c r="L168" i="3"/>
  <c r="J168" i="3"/>
  <c r="I168" i="3"/>
  <c r="I167" i="3" s="1"/>
  <c r="B171" i="3" s="1"/>
  <c r="J164" i="3"/>
  <c r="M164" i="3" s="1"/>
  <c r="P164" i="3" s="1"/>
  <c r="S164" i="3" s="1"/>
  <c r="I164" i="3"/>
  <c r="L164" i="3" s="1"/>
  <c r="O164" i="3" s="1"/>
  <c r="R164" i="3" s="1"/>
  <c r="S157" i="3"/>
  <c r="R157" i="3"/>
  <c r="P157" i="3"/>
  <c r="O157" i="3"/>
  <c r="M157" i="3"/>
  <c r="L157" i="3"/>
  <c r="J157" i="3"/>
  <c r="I157" i="3"/>
  <c r="I156" i="3"/>
  <c r="B160" i="3" s="1"/>
  <c r="J153" i="3"/>
  <c r="M153" i="3" s="1"/>
  <c r="P153" i="3" s="1"/>
  <c r="S153" i="3" s="1"/>
  <c r="I153" i="3"/>
  <c r="L153" i="3" s="1"/>
  <c r="O153" i="3" s="1"/>
  <c r="R153" i="3" s="1"/>
  <c r="S146" i="3"/>
  <c r="R146" i="3"/>
  <c r="P146" i="3"/>
  <c r="O146" i="3"/>
  <c r="M146" i="3"/>
  <c r="L146" i="3"/>
  <c r="J146" i="3"/>
  <c r="I146" i="3"/>
  <c r="I145" i="3" s="1"/>
  <c r="B149" i="3" s="1"/>
  <c r="J142" i="3"/>
  <c r="M142" i="3" s="1"/>
  <c r="P142" i="3" s="1"/>
  <c r="S142" i="3" s="1"/>
  <c r="I142" i="3"/>
  <c r="L142" i="3" s="1"/>
  <c r="O142" i="3" s="1"/>
  <c r="R142" i="3" s="1"/>
  <c r="S134" i="3"/>
  <c r="R134" i="3"/>
  <c r="P134" i="3"/>
  <c r="O134" i="3"/>
  <c r="M134" i="3"/>
  <c r="L134" i="3"/>
  <c r="J134" i="3"/>
  <c r="I134" i="3"/>
  <c r="I133" i="3"/>
  <c r="J130" i="3"/>
  <c r="M130" i="3" s="1"/>
  <c r="P130" i="3" s="1"/>
  <c r="S130" i="3" s="1"/>
  <c r="I130" i="3"/>
  <c r="L130" i="3" s="1"/>
  <c r="O130" i="3" s="1"/>
  <c r="R130" i="3" s="1"/>
  <c r="S123" i="3"/>
  <c r="R123" i="3"/>
  <c r="P123" i="3"/>
  <c r="O123" i="3"/>
  <c r="M123" i="3"/>
  <c r="L123" i="3"/>
  <c r="J123" i="3"/>
  <c r="I123" i="3"/>
  <c r="J119" i="3"/>
  <c r="M119" i="3" s="1"/>
  <c r="P119" i="3" s="1"/>
  <c r="S119" i="3" s="1"/>
  <c r="I119" i="3"/>
  <c r="L119" i="3" s="1"/>
  <c r="O119" i="3" s="1"/>
  <c r="R119" i="3" s="1"/>
  <c r="S112" i="3"/>
  <c r="R112" i="3"/>
  <c r="P112" i="3"/>
  <c r="O112" i="3"/>
  <c r="M112" i="3"/>
  <c r="L112" i="3"/>
  <c r="J112" i="3"/>
  <c r="I112" i="3"/>
  <c r="J108" i="3"/>
  <c r="M108" i="3" s="1"/>
  <c r="P108" i="3" s="1"/>
  <c r="S108" i="3" s="1"/>
  <c r="I108" i="3"/>
  <c r="L108" i="3" s="1"/>
  <c r="O108" i="3" s="1"/>
  <c r="R108" i="3" s="1"/>
  <c r="S100" i="3"/>
  <c r="R100" i="3"/>
  <c r="P100" i="3"/>
  <c r="O100" i="3"/>
  <c r="M100" i="3"/>
  <c r="L100" i="3"/>
  <c r="J100" i="3"/>
  <c r="I100" i="3"/>
  <c r="J96" i="3"/>
  <c r="M96" i="3" s="1"/>
  <c r="P96" i="3" s="1"/>
  <c r="S96" i="3" s="1"/>
  <c r="I96" i="3"/>
  <c r="L96" i="3" s="1"/>
  <c r="O96" i="3" s="1"/>
  <c r="R96" i="3" s="1"/>
  <c r="S89" i="3"/>
  <c r="R89" i="3"/>
  <c r="P89" i="3"/>
  <c r="O89" i="3"/>
  <c r="M89" i="3"/>
  <c r="L89" i="3"/>
  <c r="J89" i="3"/>
  <c r="I89" i="3"/>
  <c r="I88" i="3" s="1"/>
  <c r="B92" i="3" s="1"/>
  <c r="J85" i="3"/>
  <c r="M85" i="3" s="1"/>
  <c r="P85" i="3" s="1"/>
  <c r="S85" i="3" s="1"/>
  <c r="I85" i="3"/>
  <c r="L85" i="3" s="1"/>
  <c r="O85" i="3" s="1"/>
  <c r="R85" i="3" s="1"/>
  <c r="S78" i="3"/>
  <c r="R78" i="3"/>
  <c r="P78" i="3"/>
  <c r="O78" i="3"/>
  <c r="M78" i="3"/>
  <c r="L78" i="3"/>
  <c r="J78" i="3"/>
  <c r="I78" i="3"/>
  <c r="J74" i="3"/>
  <c r="M74" i="3" s="1"/>
  <c r="P74" i="3" s="1"/>
  <c r="S74" i="3" s="1"/>
  <c r="I74" i="3"/>
  <c r="L74" i="3" s="1"/>
  <c r="O74" i="3" s="1"/>
  <c r="R74" i="3" s="1"/>
  <c r="S66" i="3"/>
  <c r="R66" i="3"/>
  <c r="P66" i="3"/>
  <c r="O66" i="3"/>
  <c r="M66" i="3"/>
  <c r="L66" i="3"/>
  <c r="J66" i="3"/>
  <c r="I66" i="3"/>
  <c r="J62" i="3"/>
  <c r="M62" i="3" s="1"/>
  <c r="P62" i="3" s="1"/>
  <c r="S62" i="3" s="1"/>
  <c r="I62" i="3"/>
  <c r="L62" i="3" s="1"/>
  <c r="O62" i="3" s="1"/>
  <c r="R62" i="3" s="1"/>
  <c r="S55" i="3"/>
  <c r="R55" i="3"/>
  <c r="I54" i="3" s="1"/>
  <c r="B58" i="3" s="1"/>
  <c r="P55" i="3"/>
  <c r="O55" i="3"/>
  <c r="M55" i="3"/>
  <c r="L55" i="3"/>
  <c r="J55" i="3"/>
  <c r="I55" i="3"/>
  <c r="J51" i="3"/>
  <c r="M51" i="3" s="1"/>
  <c r="P51" i="3" s="1"/>
  <c r="S51" i="3" s="1"/>
  <c r="I51" i="3"/>
  <c r="L51" i="3" s="1"/>
  <c r="O51" i="3" s="1"/>
  <c r="R51" i="3" s="1"/>
  <c r="S44" i="3"/>
  <c r="R44" i="3"/>
  <c r="P44" i="3"/>
  <c r="O44" i="3"/>
  <c r="M44" i="3"/>
  <c r="L44" i="3"/>
  <c r="J44" i="3"/>
  <c r="I44" i="3"/>
  <c r="I43" i="3" s="1"/>
  <c r="B47" i="3" s="1"/>
  <c r="J40" i="3"/>
  <c r="M40" i="3" s="1"/>
  <c r="P40" i="3" s="1"/>
  <c r="S40" i="3" s="1"/>
  <c r="I40" i="3"/>
  <c r="L40" i="3" s="1"/>
  <c r="O40" i="3" s="1"/>
  <c r="R40" i="3" s="1"/>
  <c r="S32" i="3"/>
  <c r="R32" i="3"/>
  <c r="P32" i="3"/>
  <c r="O32" i="3"/>
  <c r="M32" i="3"/>
  <c r="L32" i="3"/>
  <c r="J32" i="3"/>
  <c r="I32" i="3"/>
  <c r="I31" i="3" s="1"/>
  <c r="B35" i="3" s="1"/>
  <c r="J28" i="3"/>
  <c r="M28" i="3" s="1"/>
  <c r="P28" i="3" s="1"/>
  <c r="S28" i="3" s="1"/>
  <c r="I28" i="3"/>
  <c r="L28" i="3" s="1"/>
  <c r="O28" i="3" s="1"/>
  <c r="R28" i="3" s="1"/>
  <c r="S21" i="3"/>
  <c r="R21" i="3"/>
  <c r="P21" i="3"/>
  <c r="O21" i="3"/>
  <c r="M21" i="3"/>
  <c r="L21" i="3"/>
  <c r="J21" i="3"/>
  <c r="I21" i="3"/>
  <c r="J17" i="3"/>
  <c r="M17" i="3" s="1"/>
  <c r="P17" i="3" s="1"/>
  <c r="S17" i="3" s="1"/>
  <c r="I17" i="3"/>
  <c r="L17" i="3" s="1"/>
  <c r="O17" i="3" s="1"/>
  <c r="R17" i="3" s="1"/>
  <c r="J6" i="3"/>
  <c r="M6" i="3" s="1"/>
  <c r="P6" i="3" s="1"/>
  <c r="S6" i="3" s="1"/>
  <c r="I6" i="3"/>
  <c r="S10" i="3"/>
  <c r="R10" i="3"/>
  <c r="P10" i="3"/>
  <c r="O10" i="3"/>
  <c r="M10" i="3"/>
  <c r="L10" i="3"/>
  <c r="J10" i="3"/>
  <c r="I10" i="3"/>
  <c r="I9" i="3" s="1"/>
  <c r="B13" i="3" s="1"/>
  <c r="N18" i="2"/>
  <c r="O18" i="2"/>
  <c r="L18" i="2"/>
  <c r="K18" i="2"/>
  <c r="I18" i="2"/>
  <c r="H18" i="2"/>
  <c r="F18" i="2"/>
  <c r="E18" i="2"/>
  <c r="U79" i="2"/>
  <c r="T79" i="2"/>
  <c r="R79" i="2"/>
  <c r="Q79" i="2"/>
  <c r="O79" i="2"/>
  <c r="N79" i="2"/>
  <c r="L79" i="2"/>
  <c r="K79" i="2"/>
  <c r="I79" i="2"/>
  <c r="H79" i="2"/>
  <c r="E80" i="2" s="1"/>
  <c r="U76" i="2"/>
  <c r="T76" i="2"/>
  <c r="R76" i="2"/>
  <c r="Q76" i="2"/>
  <c r="O76" i="2"/>
  <c r="N76" i="2"/>
  <c r="L76" i="2"/>
  <c r="K76" i="2"/>
  <c r="I76" i="2"/>
  <c r="H76" i="2"/>
  <c r="E77" i="2" s="1"/>
  <c r="U73" i="2"/>
  <c r="T73" i="2"/>
  <c r="R73" i="2"/>
  <c r="Q73" i="2"/>
  <c r="O73" i="2"/>
  <c r="N73" i="2"/>
  <c r="L73" i="2"/>
  <c r="K73" i="2"/>
  <c r="I73" i="2"/>
  <c r="H73" i="2"/>
  <c r="U70" i="2"/>
  <c r="T70" i="2"/>
  <c r="R70" i="2"/>
  <c r="Q70" i="2"/>
  <c r="O70" i="2"/>
  <c r="N70" i="2"/>
  <c r="L70" i="2"/>
  <c r="K70" i="2"/>
  <c r="I70" i="2"/>
  <c r="H70" i="2"/>
  <c r="E71" i="2" s="1"/>
  <c r="U67" i="2"/>
  <c r="T67" i="2"/>
  <c r="R67" i="2"/>
  <c r="Q67" i="2"/>
  <c r="O67" i="2"/>
  <c r="N67" i="2"/>
  <c r="L67" i="2"/>
  <c r="K67" i="2"/>
  <c r="I67" i="2"/>
  <c r="H67" i="2"/>
  <c r="U64" i="2"/>
  <c r="T64" i="2"/>
  <c r="R64" i="2"/>
  <c r="Q64" i="2"/>
  <c r="O64" i="2"/>
  <c r="N64" i="2"/>
  <c r="L64" i="2"/>
  <c r="K64" i="2"/>
  <c r="I64" i="2"/>
  <c r="H64" i="2"/>
  <c r="E65" i="2" s="1"/>
  <c r="U61" i="2"/>
  <c r="T61" i="2"/>
  <c r="R61" i="2"/>
  <c r="Q61" i="2"/>
  <c r="O61" i="2"/>
  <c r="N61" i="2"/>
  <c r="L61" i="2"/>
  <c r="K61" i="2"/>
  <c r="I61" i="2"/>
  <c r="H61" i="2"/>
  <c r="U58" i="2"/>
  <c r="T58" i="2"/>
  <c r="R58" i="2"/>
  <c r="Q58" i="2"/>
  <c r="O58" i="2"/>
  <c r="N58" i="2"/>
  <c r="L58" i="2"/>
  <c r="K58" i="2"/>
  <c r="I58" i="2"/>
  <c r="H58" i="2"/>
  <c r="E59" i="2" s="1"/>
  <c r="U55" i="2"/>
  <c r="T55" i="2"/>
  <c r="R55" i="2"/>
  <c r="Q55" i="2"/>
  <c r="O55" i="2"/>
  <c r="N55" i="2"/>
  <c r="L55" i="2"/>
  <c r="K55" i="2"/>
  <c r="I55" i="2"/>
  <c r="H55" i="2"/>
  <c r="U52" i="2"/>
  <c r="T52" i="2"/>
  <c r="R52" i="2"/>
  <c r="Q52" i="2"/>
  <c r="O52" i="2"/>
  <c r="N52" i="2"/>
  <c r="L52" i="2"/>
  <c r="K52" i="2"/>
  <c r="I52" i="2"/>
  <c r="H52" i="2"/>
  <c r="U49" i="2"/>
  <c r="T49" i="2"/>
  <c r="R49" i="2"/>
  <c r="Q49" i="2"/>
  <c r="O49" i="2"/>
  <c r="N49" i="2"/>
  <c r="L49" i="2"/>
  <c r="K49" i="2"/>
  <c r="I49" i="2"/>
  <c r="H49" i="2"/>
  <c r="E50" i="2" s="1"/>
  <c r="U46" i="2"/>
  <c r="T46" i="2"/>
  <c r="R46" i="2"/>
  <c r="Q46" i="2"/>
  <c r="O46" i="2"/>
  <c r="N46" i="2"/>
  <c r="L46" i="2"/>
  <c r="K46" i="2"/>
  <c r="I46" i="2"/>
  <c r="H46" i="2"/>
  <c r="U42" i="2"/>
  <c r="T42" i="2"/>
  <c r="R42" i="2"/>
  <c r="Q42" i="2"/>
  <c r="O42" i="2"/>
  <c r="N42" i="2"/>
  <c r="L42" i="2"/>
  <c r="K42" i="2"/>
  <c r="I42" i="2"/>
  <c r="H42" i="2"/>
  <c r="I3" i="2"/>
  <c r="I33" i="2"/>
  <c r="U39" i="2"/>
  <c r="T39" i="2"/>
  <c r="R39" i="2"/>
  <c r="Q39" i="2"/>
  <c r="O39" i="2"/>
  <c r="N39" i="2"/>
  <c r="L39" i="2"/>
  <c r="K39" i="2"/>
  <c r="I39" i="2"/>
  <c r="H39" i="2"/>
  <c r="U36" i="2"/>
  <c r="T36" i="2"/>
  <c r="R36" i="2"/>
  <c r="Q36" i="2"/>
  <c r="O36" i="2"/>
  <c r="N36" i="2"/>
  <c r="L36" i="2"/>
  <c r="K36" i="2"/>
  <c r="I36" i="2"/>
  <c r="H36" i="2"/>
  <c r="E37" i="2" s="1"/>
  <c r="U33" i="2"/>
  <c r="T33" i="2"/>
  <c r="R33" i="2"/>
  <c r="Q33" i="2"/>
  <c r="O33" i="2"/>
  <c r="N33" i="2"/>
  <c r="L33" i="2"/>
  <c r="K33" i="2"/>
  <c r="H33" i="2"/>
  <c r="U30" i="2"/>
  <c r="T30" i="2"/>
  <c r="R30" i="2"/>
  <c r="Q30" i="2"/>
  <c r="O30" i="2"/>
  <c r="N30" i="2"/>
  <c r="L30" i="2"/>
  <c r="K30" i="2"/>
  <c r="I30" i="2"/>
  <c r="H30" i="2"/>
  <c r="U27" i="2"/>
  <c r="T27" i="2"/>
  <c r="R27" i="2"/>
  <c r="Q27" i="2"/>
  <c r="O27" i="2"/>
  <c r="N27" i="2"/>
  <c r="L27" i="2"/>
  <c r="K27" i="2"/>
  <c r="I27" i="2"/>
  <c r="H27" i="2"/>
  <c r="U24" i="2"/>
  <c r="T24" i="2"/>
  <c r="R24" i="2"/>
  <c r="Q24" i="2"/>
  <c r="O24" i="2"/>
  <c r="N24" i="2"/>
  <c r="L24" i="2"/>
  <c r="K24" i="2"/>
  <c r="I24" i="2"/>
  <c r="H24" i="2"/>
  <c r="U21" i="2"/>
  <c r="T21" i="2"/>
  <c r="R21" i="2"/>
  <c r="Q21" i="2"/>
  <c r="O21" i="2"/>
  <c r="N21" i="2"/>
  <c r="L21" i="2"/>
  <c r="K21" i="2"/>
  <c r="I21" i="2"/>
  <c r="U12" i="2"/>
  <c r="T12" i="2"/>
  <c r="R12" i="2"/>
  <c r="Q12" i="2"/>
  <c r="O12" i="2"/>
  <c r="N12" i="2"/>
  <c r="L12" i="2"/>
  <c r="K12" i="2"/>
  <c r="I12" i="2"/>
  <c r="H12" i="2"/>
  <c r="U9" i="2"/>
  <c r="T9" i="2"/>
  <c r="R9" i="2"/>
  <c r="Q9" i="2"/>
  <c r="O9" i="2"/>
  <c r="N9" i="2"/>
  <c r="L9" i="2"/>
  <c r="K9" i="2"/>
  <c r="I9" i="2"/>
  <c r="H9" i="2"/>
  <c r="E10" i="2" s="1"/>
  <c r="U6" i="2"/>
  <c r="T6" i="2"/>
  <c r="R6" i="2"/>
  <c r="Q6" i="2"/>
  <c r="O6" i="2"/>
  <c r="N6" i="2"/>
  <c r="L6" i="2"/>
  <c r="K6" i="2"/>
  <c r="I6" i="2"/>
  <c r="H6" i="2"/>
  <c r="U3" i="2"/>
  <c r="T3" i="2"/>
  <c r="Q3" i="2"/>
  <c r="O3" i="2"/>
  <c r="K3" i="2"/>
  <c r="R3" i="2"/>
  <c r="L3" i="2"/>
  <c r="N3" i="2"/>
  <c r="H3" i="2"/>
  <c r="G12" i="1"/>
  <c r="F12" i="1"/>
  <c r="E12" i="1"/>
  <c r="D12" i="1"/>
  <c r="G11" i="1"/>
  <c r="F11" i="1"/>
  <c r="E11" i="1"/>
  <c r="D11" i="1"/>
  <c r="G10" i="1"/>
  <c r="F10" i="1"/>
  <c r="E10" i="1"/>
  <c r="D10" i="1"/>
  <c r="G9" i="1"/>
  <c r="F9" i="1"/>
  <c r="E9" i="1"/>
  <c r="D9" i="1"/>
  <c r="G8" i="1"/>
  <c r="F8" i="1"/>
  <c r="E8" i="1"/>
  <c r="D8" i="1"/>
  <c r="G7" i="1"/>
  <c r="F7" i="1"/>
  <c r="E7" i="1"/>
  <c r="D7" i="1"/>
  <c r="G6" i="1"/>
  <c r="F6" i="1"/>
  <c r="E6" i="1"/>
  <c r="D6" i="1"/>
  <c r="G5" i="1"/>
  <c r="F5" i="1"/>
  <c r="E5" i="1"/>
  <c r="D5" i="1"/>
  <c r="G4" i="1"/>
  <c r="F4" i="1"/>
  <c r="E4" i="1"/>
  <c r="D4" i="1"/>
  <c r="G3" i="1"/>
  <c r="F3" i="1"/>
  <c r="E3" i="1"/>
  <c r="D3" i="1"/>
  <c r="I292" i="3" l="1"/>
  <c r="B296" i="3" s="1"/>
  <c r="I281" i="3"/>
  <c r="B285" i="3" s="1"/>
  <c r="I235" i="3"/>
  <c r="B239" i="3" s="1"/>
  <c r="I190" i="3"/>
  <c r="B194" i="3" s="1"/>
  <c r="I179" i="3"/>
  <c r="B183" i="3" s="1"/>
  <c r="I111" i="3"/>
  <c r="B115" i="3" s="1"/>
  <c r="I99" i="3"/>
  <c r="B103" i="3" s="1"/>
  <c r="I77" i="3"/>
  <c r="B81" i="3" s="1"/>
  <c r="I122" i="3"/>
  <c r="B126" i="3" s="1"/>
  <c r="I65" i="3"/>
  <c r="B69" i="3" s="1"/>
  <c r="I20" i="3"/>
  <c r="B24" i="3" s="1"/>
  <c r="L6" i="3"/>
  <c r="O6" i="3" s="1"/>
  <c r="R6" i="3" s="1"/>
  <c r="U18" i="2"/>
  <c r="T18" i="2"/>
  <c r="E19" i="2"/>
  <c r="E62" i="2"/>
  <c r="E25" i="2"/>
  <c r="E74" i="2"/>
  <c r="E68" i="2"/>
  <c r="E47" i="2"/>
  <c r="E22" i="2"/>
  <c r="E7" i="2"/>
  <c r="E43" i="2"/>
  <c r="E53" i="2"/>
  <c r="E56" i="2"/>
  <c r="E28" i="2"/>
  <c r="E40" i="2"/>
  <c r="E34" i="2"/>
  <c r="E31" i="2"/>
  <c r="E13" i="2"/>
  <c r="E4" i="2"/>
</calcChain>
</file>

<file path=xl/sharedStrings.xml><?xml version="1.0" encoding="utf-8"?>
<sst xmlns="http://schemas.openxmlformats.org/spreadsheetml/2006/main" count="347" uniqueCount="67">
  <si>
    <t>AETHON</t>
  </si>
  <si>
    <t>System</t>
  </si>
  <si>
    <t>Text-X</t>
  </si>
  <si>
    <t>Text-Y</t>
  </si>
  <si>
    <t>Image-X</t>
  </si>
  <si>
    <t>Image-Y</t>
  </si>
  <si>
    <t>KHIONE</t>
  </si>
  <si>
    <t>DRAKE</t>
  </si>
  <si>
    <t>UNION</t>
  </si>
  <si>
    <t>ZHARKOV</t>
  </si>
  <si>
    <t>USHAK SANCTUARY</t>
  </si>
  <si>
    <t>CETO</t>
  </si>
  <si>
    <t>KHAIT NEBULA</t>
  </si>
  <si>
    <t>KHAIT DOMINION</t>
  </si>
  <si>
    <t>RHAK HOMEWORLDS</t>
  </si>
  <si>
    <t>Path-X</t>
  </si>
  <si>
    <t>Path-Y</t>
  </si>
  <si>
    <t>Sector</t>
  </si>
  <si>
    <t>Poly 1</t>
  </si>
  <si>
    <t>Poly 2</t>
  </si>
  <si>
    <t>Poly 3</t>
  </si>
  <si>
    <t>Poly 4</t>
  </si>
  <si>
    <t>Poly 5</t>
  </si>
  <si>
    <t>Poly 6</t>
  </si>
  <si>
    <t>Poly 7</t>
  </si>
  <si>
    <t>Poly 8</t>
  </si>
  <si>
    <t>Größe</t>
  </si>
  <si>
    <t>BERGBAU-RUINE</t>
  </si>
  <si>
    <t>CETO OUTER RIM</t>
  </si>
  <si>
    <t>RHODIA ORBIT</t>
  </si>
  <si>
    <t>RHODIA II</t>
  </si>
  <si>
    <t>UNION BRIDGE</t>
  </si>
  <si>
    <t>SCHIFFSWRACK</t>
  </si>
  <si>
    <t>OUTLAW GRENZLAND</t>
  </si>
  <si>
    <t>ASTEROIDENFELD</t>
  </si>
  <si>
    <t>VERLASSENE</t>
  </si>
  <si>
    <t>STATION</t>
  </si>
  <si>
    <t>OUTLAW</t>
  </si>
  <si>
    <t>AUSSENPOSTEN</t>
  </si>
  <si>
    <t>ZERSTÖRTE</t>
  </si>
  <si>
    <t>FÖRDERSTATION</t>
  </si>
  <si>
    <t>PALAEMONS WUNDE</t>
  </si>
  <si>
    <t>GEISTERFLOTTE</t>
  </si>
  <si>
    <t>OUTLAW-BASIS</t>
  </si>
  <si>
    <t>MEER DER SIRENEN</t>
  </si>
  <si>
    <t>CETO ORBIT</t>
  </si>
  <si>
    <t>FÖRDERSTÄTTE</t>
  </si>
  <si>
    <t>ALKIONE-STATION</t>
  </si>
  <si>
    <t>VERLASSENE ANLAGE</t>
  </si>
  <si>
    <t>Rautensymbol:</t>
  </si>
  <si>
    <t>Mittelpunkt:</t>
  </si>
  <si>
    <t>X</t>
  </si>
  <si>
    <t>Y</t>
  </si>
  <si>
    <t>Text Unten:</t>
  </si>
  <si>
    <t>Text Links:</t>
  </si>
  <si>
    <t>Text Rechts:</t>
  </si>
  <si>
    <t>Code:</t>
  </si>
  <si>
    <t>OUTLAW AUSSENPOSTEN</t>
  </si>
  <si>
    <t>ZERSTÖRTE FÖRDERSTATION</t>
  </si>
  <si>
    <t>VERLASSENE STATION</t>
  </si>
  <si>
    <t>PALAEMON'S WUNDE</t>
  </si>
  <si>
    <t>VERLASSENE FÖRDERSTATION</t>
  </si>
  <si>
    <t>ZERSTÖRTE STATION</t>
  </si>
  <si>
    <t>ASTEROIDEN-CLUSTER</t>
  </si>
  <si>
    <t>VERLASSENER MILITÄRISCHER AUSSENPOSTEN</t>
  </si>
  <si>
    <t>CHARYBDIS SCHLUND</t>
  </si>
  <si>
    <t>NEPHTYS EBENEN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</si>
</sst>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/>
    <xf numFmtId="0" fontId="1" fillId="0" borderId="0" xfId="0" applyFont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view="pageLayout" zoomScaleNormal="100" workbookViewId="0"/>
  </sheetViews>
  <sheetFormatPr baseColWidth="10" defaultColWidth="9.140625" defaultRowHeight="15" x14ac:dyDescent="0.25"/>
  <cols>
    <col min="1" max="1" width="20.28515625" style="2" customWidth="1"/>
    <col min="2" max="7" width="10.140625" style="2" customWidth="1"/>
    <col min="8" max="20" width="9.140625" style="2"/>
  </cols>
  <sheetData>
    <row r="1" spans="1:7" x14ac:dyDescent="0.25">
      <c r="A1" s="2" t="s">
        <v>17</v>
      </c>
      <c r="B1" s="2" t="s">
        <v>4</v>
      </c>
      <c r="C1" s="2" t="s">
        <v>5</v>
      </c>
      <c r="D1" s="2" t="s">
        <v>2</v>
      </c>
      <c r="E1" s="2" t="s">
        <v>3</v>
      </c>
      <c r="F1" s="2" t="s">
        <v>15</v>
      </c>
      <c r="G1" s="2" t="s">
        <v>16</v>
      </c>
    </row>
    <row r="2" spans="1:7" ht="8.4499999999999993" customHeight="1" x14ac:dyDescent="0.25"/>
    <row r="3" spans="1:7" x14ac:dyDescent="0.25">
      <c r="A3" s="1" t="s">
        <v>0</v>
      </c>
      <c r="B3" s="2">
        <v>281</v>
      </c>
      <c r="C3" s="2">
        <v>112</v>
      </c>
      <c r="D3" s="2">
        <f>B3+40</f>
        <v>321</v>
      </c>
      <c r="E3" s="2">
        <f>C3+94</f>
        <v>206</v>
      </c>
      <c r="F3" s="2">
        <f>B3+40</f>
        <v>321</v>
      </c>
      <c r="G3" s="2">
        <f>C3+40</f>
        <v>152</v>
      </c>
    </row>
    <row r="4" spans="1:7" x14ac:dyDescent="0.25">
      <c r="A4" s="2" t="s">
        <v>6</v>
      </c>
      <c r="B4" s="2">
        <v>698</v>
      </c>
      <c r="C4" s="2">
        <v>100</v>
      </c>
      <c r="D4" s="2">
        <f t="shared" ref="D4:D12" si="0">B4+40</f>
        <v>738</v>
      </c>
      <c r="E4" s="2">
        <f t="shared" ref="E4:E12" si="1">C4+94</f>
        <v>194</v>
      </c>
      <c r="F4" s="2">
        <f t="shared" ref="F4:G12" si="2">B4+40</f>
        <v>738</v>
      </c>
      <c r="G4" s="2">
        <f t="shared" si="2"/>
        <v>140</v>
      </c>
    </row>
    <row r="5" spans="1:7" x14ac:dyDescent="0.25">
      <c r="A5" s="2" t="s">
        <v>7</v>
      </c>
      <c r="B5" s="2">
        <v>42</v>
      </c>
      <c r="C5" s="2">
        <v>459</v>
      </c>
      <c r="D5" s="2">
        <f t="shared" si="0"/>
        <v>82</v>
      </c>
      <c r="E5" s="2">
        <f t="shared" si="1"/>
        <v>553</v>
      </c>
      <c r="F5" s="2">
        <f t="shared" si="2"/>
        <v>82</v>
      </c>
      <c r="G5" s="2">
        <f t="shared" si="2"/>
        <v>499</v>
      </c>
    </row>
    <row r="6" spans="1:7" x14ac:dyDescent="0.25">
      <c r="A6" s="2" t="s">
        <v>8</v>
      </c>
      <c r="B6" s="2">
        <v>426</v>
      </c>
      <c r="C6" s="2">
        <v>484</v>
      </c>
      <c r="D6" s="2">
        <f t="shared" si="0"/>
        <v>466</v>
      </c>
      <c r="E6" s="2">
        <f t="shared" si="1"/>
        <v>578</v>
      </c>
      <c r="F6" s="2">
        <f t="shared" si="2"/>
        <v>466</v>
      </c>
      <c r="G6" s="2">
        <f t="shared" si="2"/>
        <v>524</v>
      </c>
    </row>
    <row r="7" spans="1:7" x14ac:dyDescent="0.25">
      <c r="A7" s="2" t="s">
        <v>9</v>
      </c>
      <c r="B7" s="2">
        <v>861</v>
      </c>
      <c r="C7" s="2">
        <v>438</v>
      </c>
      <c r="D7" s="2">
        <f t="shared" si="0"/>
        <v>901</v>
      </c>
      <c r="E7" s="2">
        <f t="shared" si="1"/>
        <v>532</v>
      </c>
      <c r="F7" s="2">
        <f t="shared" si="2"/>
        <v>901</v>
      </c>
      <c r="G7" s="2">
        <f t="shared" si="2"/>
        <v>478</v>
      </c>
    </row>
    <row r="8" spans="1:7" x14ac:dyDescent="0.25">
      <c r="A8" s="2" t="s">
        <v>10</v>
      </c>
      <c r="B8" s="2">
        <v>1412</v>
      </c>
      <c r="C8" s="2">
        <v>227</v>
      </c>
      <c r="D8" s="2">
        <f t="shared" si="0"/>
        <v>1452</v>
      </c>
      <c r="E8" s="2">
        <f t="shared" si="1"/>
        <v>321</v>
      </c>
      <c r="F8" s="2">
        <f t="shared" si="2"/>
        <v>1452</v>
      </c>
      <c r="G8" s="2">
        <f t="shared" si="2"/>
        <v>267</v>
      </c>
    </row>
    <row r="9" spans="1:7" x14ac:dyDescent="0.25">
      <c r="A9" s="2" t="s">
        <v>11</v>
      </c>
      <c r="B9" s="2">
        <v>266</v>
      </c>
      <c r="C9" s="2">
        <v>922</v>
      </c>
      <c r="D9" s="2">
        <f t="shared" si="0"/>
        <v>306</v>
      </c>
      <c r="E9" s="2">
        <f t="shared" si="1"/>
        <v>1016</v>
      </c>
      <c r="F9" s="2">
        <f t="shared" si="2"/>
        <v>306</v>
      </c>
      <c r="G9" s="2">
        <f t="shared" si="2"/>
        <v>962</v>
      </c>
    </row>
    <row r="10" spans="1:7" x14ac:dyDescent="0.25">
      <c r="A10" s="2" t="s">
        <v>12</v>
      </c>
      <c r="B10" s="2">
        <v>912</v>
      </c>
      <c r="C10" s="2">
        <v>826</v>
      </c>
      <c r="D10" s="2">
        <f t="shared" si="0"/>
        <v>952</v>
      </c>
      <c r="E10" s="2">
        <f t="shared" si="1"/>
        <v>920</v>
      </c>
      <c r="F10" s="2">
        <f t="shared" si="2"/>
        <v>952</v>
      </c>
      <c r="G10" s="2">
        <f t="shared" si="2"/>
        <v>866</v>
      </c>
    </row>
    <row r="11" spans="1:7" x14ac:dyDescent="0.25">
      <c r="A11" s="2" t="s">
        <v>13</v>
      </c>
      <c r="B11" s="2">
        <v>1286</v>
      </c>
      <c r="C11" s="2">
        <v>755</v>
      </c>
      <c r="D11" s="2">
        <f t="shared" si="0"/>
        <v>1326</v>
      </c>
      <c r="E11" s="2">
        <f t="shared" si="1"/>
        <v>849</v>
      </c>
      <c r="F11" s="2">
        <f t="shared" si="2"/>
        <v>1326</v>
      </c>
      <c r="G11" s="2">
        <f t="shared" si="2"/>
        <v>795</v>
      </c>
    </row>
    <row r="12" spans="1:7" x14ac:dyDescent="0.25">
      <c r="A12" s="2" t="s">
        <v>14</v>
      </c>
      <c r="B12" s="2">
        <v>1504</v>
      </c>
      <c r="C12" s="2">
        <v>498</v>
      </c>
      <c r="D12" s="2">
        <f t="shared" si="0"/>
        <v>1544</v>
      </c>
      <c r="E12" s="2">
        <f t="shared" si="1"/>
        <v>592</v>
      </c>
      <c r="F12" s="2">
        <f t="shared" si="2"/>
        <v>1544</v>
      </c>
      <c r="G12" s="2">
        <f t="shared" si="2"/>
        <v>538</v>
      </c>
    </row>
  </sheetData>
  <pageMargins left="0.7" right="0.7" top="0.75" bottom="0.75" header="0.3" footer="0.3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B509-92C9-4A57-86A0-0F98D157BAD0}">
  <dimension ref="A1:Y80"/>
  <sheetViews>
    <sheetView view="pageLayout" zoomScaleNormal="100" workbookViewId="0">
      <selection activeCell="H16" sqref="H16"/>
    </sheetView>
  </sheetViews>
  <sheetFormatPr baseColWidth="10" defaultColWidth="9.140625" defaultRowHeight="15" x14ac:dyDescent="0.25"/>
  <cols>
    <col min="1" max="1" width="20.28515625" style="2" customWidth="1"/>
    <col min="2" max="2" width="1" style="2" customWidth="1"/>
    <col min="3" max="3" width="6" style="2" customWidth="1"/>
    <col min="4" max="4" width="1" style="2" customWidth="1"/>
    <col min="5" max="6" width="8" style="2" customWidth="1"/>
    <col min="7" max="7" width="1" style="2" customWidth="1"/>
    <col min="8" max="9" width="8" style="2" customWidth="1"/>
    <col min="10" max="10" width="1" style="2" customWidth="1"/>
    <col min="11" max="12" width="8" style="2" customWidth="1"/>
    <col min="13" max="13" width="1" style="2" customWidth="1"/>
    <col min="14" max="15" width="8" style="2" customWidth="1"/>
    <col min="16" max="16" width="1" style="2" customWidth="1"/>
    <col min="17" max="18" width="8" style="2" customWidth="1"/>
    <col min="19" max="19" width="1" style="2" customWidth="1"/>
    <col min="20" max="21" width="8" style="2" customWidth="1"/>
    <col min="22" max="22" width="1" style="2" customWidth="1"/>
    <col min="23" max="25" width="9.140625" style="2"/>
  </cols>
  <sheetData>
    <row r="1" spans="1:21" x14ac:dyDescent="0.25">
      <c r="A1" s="2" t="s">
        <v>1</v>
      </c>
      <c r="C1" s="2" t="s">
        <v>26</v>
      </c>
      <c r="E1" s="2" t="s">
        <v>51</v>
      </c>
      <c r="F1" s="2" t="s">
        <v>52</v>
      </c>
      <c r="H1" s="2" t="s">
        <v>18</v>
      </c>
      <c r="I1" s="2" t="s">
        <v>19</v>
      </c>
      <c r="K1" s="2" t="s">
        <v>20</v>
      </c>
      <c r="L1" s="2" t="s">
        <v>21</v>
      </c>
      <c r="N1" s="2" t="s">
        <v>22</v>
      </c>
      <c r="O1" s="2" t="s">
        <v>23</v>
      </c>
      <c r="Q1" s="2" t="s">
        <v>24</v>
      </c>
      <c r="R1" s="2" t="s">
        <v>25</v>
      </c>
      <c r="T1" s="2" t="s">
        <v>2</v>
      </c>
      <c r="U1" s="2" t="s">
        <v>3</v>
      </c>
    </row>
    <row r="2" spans="1:21" ht="8.4499999999999993" customHeight="1" x14ac:dyDescent="0.25"/>
    <row r="3" spans="1:21" s="2" customFormat="1" x14ac:dyDescent="0.25">
      <c r="A3" s="1" t="s">
        <v>27</v>
      </c>
      <c r="B3" s="1"/>
      <c r="C3" s="1">
        <v>40</v>
      </c>
      <c r="D3" s="1"/>
      <c r="E3" s="2">
        <v>580</v>
      </c>
      <c r="F3" s="2">
        <v>120</v>
      </c>
      <c r="H3" s="2">
        <f>E3</f>
        <v>580</v>
      </c>
      <c r="I3" s="2">
        <f>F3-(C3/2)</f>
        <v>100</v>
      </c>
      <c r="K3" s="2">
        <f>E3+(C3/2)</f>
        <v>600</v>
      </c>
      <c r="L3" s="2">
        <f>F3</f>
        <v>120</v>
      </c>
      <c r="N3" s="2">
        <f>E3</f>
        <v>580</v>
      </c>
      <c r="O3" s="2">
        <f>F3+(C3/2)</f>
        <v>140</v>
      </c>
      <c r="Q3" s="2">
        <f>E3-(C3/2)</f>
        <v>560</v>
      </c>
      <c r="R3" s="2">
        <f>F3</f>
        <v>120</v>
      </c>
      <c r="T3" s="2">
        <f>E3</f>
        <v>580</v>
      </c>
      <c r="U3" s="2">
        <f>F3+C3</f>
        <v>160</v>
      </c>
    </row>
    <row r="4" spans="1:21" s="2" customFormat="1" x14ac:dyDescent="0.25">
      <c r="A4" s="1"/>
      <c r="B4" s="1"/>
      <c r="C4" s="1"/>
      <c r="D4" s="1"/>
      <c r="E4" s="18" t="str">
        <f>H3&amp;","&amp;I3&amp;" "&amp;K3&amp;","&amp;L3&amp;" "&amp;N3&amp;","&amp;O3&amp;" "&amp;Q3&amp;","&amp;R3</f>
        <v>580,100 600,120 580,140 560,120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21" s="2" customFormat="1" ht="5.85" customHeight="1" x14ac:dyDescent="0.25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21" s="2" customFormat="1" x14ac:dyDescent="0.25">
      <c r="A6" s="1" t="s">
        <v>28</v>
      </c>
      <c r="B6" s="1"/>
      <c r="C6" s="1">
        <v>40</v>
      </c>
      <c r="D6" s="1"/>
      <c r="E6" s="2">
        <v>520</v>
      </c>
      <c r="F6" s="2">
        <v>180</v>
      </c>
      <c r="H6" s="2">
        <f>E6</f>
        <v>520</v>
      </c>
      <c r="I6" s="2">
        <f>F6-(C6/2)</f>
        <v>160</v>
      </c>
      <c r="K6" s="2">
        <f>E6+(C6/2)</f>
        <v>540</v>
      </c>
      <c r="L6" s="2">
        <f>F6</f>
        <v>180</v>
      </c>
      <c r="N6" s="2">
        <f>E6</f>
        <v>520</v>
      </c>
      <c r="O6" s="2">
        <f>F6+(C6/2)</f>
        <v>200</v>
      </c>
      <c r="Q6" s="2">
        <f>E6-(C6/2)</f>
        <v>500</v>
      </c>
      <c r="R6" s="2">
        <f>F6</f>
        <v>180</v>
      </c>
      <c r="T6" s="2">
        <f>E6</f>
        <v>520</v>
      </c>
      <c r="U6" s="2">
        <f>F6+C6</f>
        <v>220</v>
      </c>
    </row>
    <row r="7" spans="1:21" s="2" customFormat="1" x14ac:dyDescent="0.25">
      <c r="A7" s="1"/>
      <c r="B7" s="1"/>
      <c r="C7" s="1"/>
      <c r="D7" s="1"/>
      <c r="E7" s="18" t="str">
        <f>H6&amp;","&amp;I6&amp;" "&amp;K6&amp;","&amp;L6&amp;" "&amp;N6&amp;","&amp;O6&amp;" "&amp;Q6&amp;","&amp;R6</f>
        <v>520,160 540,180 520,200 500,180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21" s="2" customFormat="1" ht="5.85" customHeight="1" x14ac:dyDescent="0.25"/>
    <row r="9" spans="1:21" s="2" customFormat="1" x14ac:dyDescent="0.25">
      <c r="A9" s="1" t="s">
        <v>29</v>
      </c>
      <c r="B9" s="1"/>
      <c r="C9" s="1">
        <v>40</v>
      </c>
      <c r="D9" s="1"/>
      <c r="E9" s="2">
        <v>700</v>
      </c>
      <c r="F9" s="2">
        <v>140</v>
      </c>
      <c r="H9" s="2">
        <f>E9</f>
        <v>700</v>
      </c>
      <c r="I9" s="2">
        <f>F9-(C9/2)</f>
        <v>120</v>
      </c>
      <c r="K9" s="2">
        <f>E9+(C9/2)</f>
        <v>720</v>
      </c>
      <c r="L9" s="2">
        <f>F9</f>
        <v>140</v>
      </c>
      <c r="N9" s="2">
        <f>E9</f>
        <v>700</v>
      </c>
      <c r="O9" s="2">
        <f>F9+(C9/2)</f>
        <v>160</v>
      </c>
      <c r="Q9" s="2">
        <f>E9-(C9/2)</f>
        <v>680</v>
      </c>
      <c r="R9" s="2">
        <f>F9</f>
        <v>140</v>
      </c>
      <c r="T9" s="2">
        <f>E9</f>
        <v>700</v>
      </c>
      <c r="U9" s="2">
        <f>F9+C9</f>
        <v>180</v>
      </c>
    </row>
    <row r="10" spans="1:21" s="2" customFormat="1" x14ac:dyDescent="0.25">
      <c r="A10" s="1"/>
      <c r="B10" s="1"/>
      <c r="C10" s="1"/>
      <c r="D10" s="1"/>
      <c r="E10" s="18" t="str">
        <f>H9&amp;","&amp;I9&amp;" "&amp;K9&amp;","&amp;L9&amp;" "&amp;N9&amp;","&amp;O9&amp;" "&amp;Q9&amp;","&amp;R9</f>
        <v>700,120 720,140 700,160 680,140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21" s="2" customFormat="1" ht="5.85" customHeight="1" x14ac:dyDescent="0.25"/>
    <row r="12" spans="1:21" s="2" customFormat="1" x14ac:dyDescent="0.25">
      <c r="A12" s="1" t="s">
        <v>30</v>
      </c>
      <c r="B12" s="1"/>
      <c r="C12" s="1">
        <v>40</v>
      </c>
      <c r="D12" s="1"/>
      <c r="E12" s="2">
        <v>760</v>
      </c>
      <c r="F12" s="2">
        <v>200</v>
      </c>
      <c r="H12" s="2">
        <f>E12</f>
        <v>760</v>
      </c>
      <c r="I12" s="2">
        <f>F12-(C12/2)</f>
        <v>180</v>
      </c>
      <c r="K12" s="2">
        <f>E12+(C12/2)</f>
        <v>780</v>
      </c>
      <c r="L12" s="2">
        <f>F12</f>
        <v>200</v>
      </c>
      <c r="N12" s="2">
        <f>E12</f>
        <v>760</v>
      </c>
      <c r="O12" s="2">
        <f>F12+(C12/2)</f>
        <v>220</v>
      </c>
      <c r="Q12" s="2">
        <f>E12-(C12/2)</f>
        <v>740</v>
      </c>
      <c r="R12" s="2">
        <f>F12</f>
        <v>200</v>
      </c>
      <c r="T12" s="2">
        <f>E12</f>
        <v>760</v>
      </c>
      <c r="U12" s="2">
        <f>F12+C12</f>
        <v>240</v>
      </c>
    </row>
    <row r="13" spans="1:21" s="2" customFormat="1" x14ac:dyDescent="0.25">
      <c r="A13" s="1"/>
      <c r="B13" s="1"/>
      <c r="C13" s="1"/>
      <c r="D13" s="1"/>
      <c r="E13" s="18" t="str">
        <f>H12&amp;","&amp;I12&amp;" "&amp;K12&amp;","&amp;L12&amp;" "&amp;N12&amp;","&amp;O12&amp;" "&amp;Q12&amp;","&amp;R12</f>
        <v>760,180 780,200 760,220 740,200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21" s="2" customFormat="1" ht="5.85" customHeight="1" x14ac:dyDescent="0.25"/>
    <row r="15" spans="1:21" x14ac:dyDescent="0.25">
      <c r="A15" s="1" t="s">
        <v>31</v>
      </c>
      <c r="B15" s="1"/>
      <c r="C15" s="1">
        <v>40</v>
      </c>
      <c r="D15" s="1"/>
      <c r="E15" s="18" t="s">
        <v>50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21" x14ac:dyDescent="0.25">
      <c r="A16" s="1"/>
      <c r="B16" s="1"/>
      <c r="C16" s="1"/>
      <c r="D16" s="1"/>
      <c r="E16" s="2">
        <v>790</v>
      </c>
      <c r="F16" s="2">
        <v>300</v>
      </c>
    </row>
    <row r="17" spans="1:21" x14ac:dyDescent="0.25">
      <c r="A17" s="1"/>
      <c r="B17" s="1"/>
      <c r="C17" s="1"/>
      <c r="D17" s="1"/>
      <c r="E17" s="18" t="s">
        <v>49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21" x14ac:dyDescent="0.25">
      <c r="A18" s="1"/>
      <c r="B18" s="1"/>
      <c r="C18" s="1"/>
      <c r="D18" s="1"/>
      <c r="E18" s="2">
        <f>E16</f>
        <v>790</v>
      </c>
      <c r="F18" s="2">
        <f>F16-(C15/2)</f>
        <v>280</v>
      </c>
      <c r="H18" s="2">
        <f>E16+(C15/2)</f>
        <v>810</v>
      </c>
      <c r="I18" s="2">
        <f>F16</f>
        <v>300</v>
      </c>
      <c r="K18" s="2">
        <f>E16</f>
        <v>790</v>
      </c>
      <c r="L18" s="2">
        <f>F16+(C15/2)</f>
        <v>320</v>
      </c>
      <c r="N18" s="2">
        <f>E16-(C15/2)</f>
        <v>770</v>
      </c>
      <c r="O18" s="2">
        <f>F16</f>
        <v>300</v>
      </c>
      <c r="T18" s="2">
        <f>E18</f>
        <v>790</v>
      </c>
      <c r="U18" s="2">
        <f>F18+C15</f>
        <v>320</v>
      </c>
    </row>
    <row r="19" spans="1:21" x14ac:dyDescent="0.25">
      <c r="A19" s="1"/>
      <c r="B19" s="1"/>
      <c r="C19" s="1"/>
      <c r="D19" s="1"/>
      <c r="E19" s="18" t="str">
        <f>H18&amp;","&amp;I18&amp;" "&amp;K18&amp;","&amp;L18&amp;" "&amp;N18&amp;","&amp;O18&amp;" "&amp;Q18&amp;","&amp;R18</f>
        <v>810,300 790,320 770,300 ,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21" ht="5.85" customHeight="1" x14ac:dyDescent="0.25"/>
    <row r="21" spans="1:21" x14ac:dyDescent="0.25">
      <c r="A21" s="1" t="s">
        <v>32</v>
      </c>
      <c r="B21" s="1"/>
      <c r="C21" s="1">
        <v>40</v>
      </c>
      <c r="D21" s="1"/>
      <c r="E21" s="2">
        <v>960</v>
      </c>
      <c r="F21" s="2">
        <v>300</v>
      </c>
      <c r="H21" s="2">
        <v>300</v>
      </c>
      <c r="I21" s="2">
        <f>F21-(C21/2)</f>
        <v>280</v>
      </c>
      <c r="K21" s="2">
        <f>E21+(C21/2)</f>
        <v>980</v>
      </c>
      <c r="L21" s="2">
        <f>F21</f>
        <v>300</v>
      </c>
      <c r="N21" s="2">
        <f>E21</f>
        <v>960</v>
      </c>
      <c r="O21" s="2">
        <f>F21+(C21/2)</f>
        <v>320</v>
      </c>
      <c r="Q21" s="2">
        <f>E21-(C21/2)</f>
        <v>940</v>
      </c>
      <c r="R21" s="2">
        <f>F21</f>
        <v>300</v>
      </c>
      <c r="T21" s="2">
        <f>E21</f>
        <v>960</v>
      </c>
      <c r="U21" s="2">
        <f>F21+C21</f>
        <v>340</v>
      </c>
    </row>
    <row r="22" spans="1:21" x14ac:dyDescent="0.25">
      <c r="A22" s="1"/>
      <c r="B22" s="1"/>
      <c r="C22" s="1"/>
      <c r="D22" s="1"/>
      <c r="E22" s="18" t="str">
        <f>H21&amp;","&amp;I21&amp;" "&amp;K21&amp;","&amp;L21&amp;" "&amp;N21&amp;","&amp;O21&amp;" "&amp;Q21&amp;","&amp;R21</f>
        <v>300,280 980,300 960,320 940,300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21" ht="5.85" customHeight="1" x14ac:dyDescent="0.25"/>
    <row r="24" spans="1:21" x14ac:dyDescent="0.25">
      <c r="A24" s="1" t="s">
        <v>33</v>
      </c>
      <c r="B24" s="1"/>
      <c r="C24" s="1">
        <v>40</v>
      </c>
      <c r="D24" s="1"/>
      <c r="E24" s="2">
        <v>670</v>
      </c>
      <c r="F24" s="2">
        <v>382</v>
      </c>
      <c r="H24" s="2">
        <f>E24</f>
        <v>670</v>
      </c>
      <c r="I24" s="2">
        <f>F24-(C24/2)</f>
        <v>362</v>
      </c>
      <c r="K24" s="2">
        <f>E24+(C24/2)</f>
        <v>690</v>
      </c>
      <c r="L24" s="2">
        <f>F24</f>
        <v>382</v>
      </c>
      <c r="N24" s="2">
        <f>E24</f>
        <v>670</v>
      </c>
      <c r="O24" s="2">
        <f>F24+(C24/2)</f>
        <v>402</v>
      </c>
      <c r="Q24" s="2">
        <f>E24-(C24/2)</f>
        <v>650</v>
      </c>
      <c r="R24" s="2">
        <f>F24</f>
        <v>382</v>
      </c>
      <c r="T24" s="2">
        <f>E24</f>
        <v>670</v>
      </c>
      <c r="U24" s="2">
        <f>F24+C24</f>
        <v>422</v>
      </c>
    </row>
    <row r="25" spans="1:21" x14ac:dyDescent="0.25">
      <c r="A25" s="1"/>
      <c r="B25" s="1"/>
      <c r="C25" s="1"/>
      <c r="D25" s="1"/>
      <c r="E25" s="18" t="str">
        <f>H24&amp;","&amp;I24&amp;" "&amp;K24&amp;","&amp;L24&amp;" "&amp;N24&amp;","&amp;O24&amp;" "&amp;Q24&amp;","&amp;R24</f>
        <v>670,362 690,382 670,402 650,382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pans="1:21" ht="5.85" customHeight="1" x14ac:dyDescent="0.25"/>
    <row r="27" spans="1:21" x14ac:dyDescent="0.25">
      <c r="A27" s="1" t="s">
        <v>34</v>
      </c>
      <c r="B27" s="1"/>
      <c r="C27" s="1">
        <v>40</v>
      </c>
      <c r="D27" s="1"/>
      <c r="E27" s="2">
        <v>588</v>
      </c>
      <c r="F27" s="2">
        <v>436</v>
      </c>
      <c r="H27" s="2">
        <f>E27</f>
        <v>588</v>
      </c>
      <c r="I27" s="2">
        <f>F27-(C27/2)</f>
        <v>416</v>
      </c>
      <c r="K27" s="2">
        <f>E27+(C27/2)</f>
        <v>608</v>
      </c>
      <c r="L27" s="2">
        <f>F27</f>
        <v>436</v>
      </c>
      <c r="N27" s="2">
        <f>E27</f>
        <v>588</v>
      </c>
      <c r="O27" s="2">
        <f>F27+(C27/2)</f>
        <v>456</v>
      </c>
      <c r="Q27" s="2">
        <f>E27-(C27/2)</f>
        <v>568</v>
      </c>
      <c r="R27" s="2">
        <f>F27</f>
        <v>436</v>
      </c>
      <c r="T27" s="2">
        <f>E27</f>
        <v>588</v>
      </c>
      <c r="U27" s="2">
        <f>F27+C27</f>
        <v>476</v>
      </c>
    </row>
    <row r="28" spans="1:21" x14ac:dyDescent="0.25">
      <c r="A28" s="1"/>
      <c r="B28" s="1"/>
      <c r="C28" s="1"/>
      <c r="D28" s="1"/>
      <c r="E28" s="18" t="str">
        <f>H27&amp;","&amp;I27&amp;" "&amp;K27&amp;","&amp;L27&amp;" "&amp;N27&amp;","&amp;O27&amp;" "&amp;Q27&amp;","&amp;R27</f>
        <v>588,416 608,436 588,456 568,436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spans="1:21" ht="5.85" customHeight="1" x14ac:dyDescent="0.25"/>
    <row r="30" spans="1:21" x14ac:dyDescent="0.25">
      <c r="A30" s="1" t="s">
        <v>35</v>
      </c>
      <c r="B30" s="1"/>
      <c r="C30" s="1">
        <v>40</v>
      </c>
      <c r="D30" s="1"/>
      <c r="E30" s="2">
        <v>390</v>
      </c>
      <c r="F30" s="2">
        <v>470</v>
      </c>
      <c r="H30" s="2">
        <f>E30</f>
        <v>390</v>
      </c>
      <c r="I30" s="2">
        <f>F30-(C30/2)</f>
        <v>450</v>
      </c>
      <c r="K30" s="2">
        <f>E30+(C30/2)</f>
        <v>410</v>
      </c>
      <c r="L30" s="2">
        <f>F30</f>
        <v>470</v>
      </c>
      <c r="N30" s="2">
        <f>E30</f>
        <v>390</v>
      </c>
      <c r="O30" s="2">
        <f>F30+(C30/2)</f>
        <v>490</v>
      </c>
      <c r="Q30" s="2">
        <f>E30-(C30/2)</f>
        <v>370</v>
      </c>
      <c r="R30" s="2">
        <f>F30</f>
        <v>470</v>
      </c>
      <c r="T30" s="2">
        <f>E30</f>
        <v>390</v>
      </c>
      <c r="U30" s="2">
        <f>F30+C30</f>
        <v>510</v>
      </c>
    </row>
    <row r="31" spans="1:21" x14ac:dyDescent="0.25">
      <c r="A31" s="1" t="s">
        <v>36</v>
      </c>
      <c r="B31" s="1"/>
      <c r="C31" s="1"/>
      <c r="D31" s="1"/>
      <c r="E31" s="18" t="str">
        <f>H30&amp;","&amp;I30&amp;" "&amp;K30&amp;","&amp;L30&amp;" "&amp;N30&amp;","&amp;O30&amp;" "&amp;Q30&amp;","&amp;R30</f>
        <v>390,450 410,470 390,490 370,470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 spans="1:21" ht="5.85" customHeight="1" x14ac:dyDescent="0.25"/>
    <row r="33" spans="1:21" x14ac:dyDescent="0.25">
      <c r="A33" s="1" t="s">
        <v>37</v>
      </c>
      <c r="B33" s="1"/>
      <c r="C33" s="1">
        <v>40</v>
      </c>
      <c r="D33" s="1"/>
      <c r="E33" s="2">
        <v>288</v>
      </c>
      <c r="F33" s="2">
        <v>268</v>
      </c>
      <c r="H33" s="2">
        <f>E33</f>
        <v>288</v>
      </c>
      <c r="I33" s="2">
        <f>F33-(C33/2)</f>
        <v>248</v>
      </c>
      <c r="K33" s="2">
        <f>E33+(C33/2)</f>
        <v>308</v>
      </c>
      <c r="L33" s="2">
        <f>F33</f>
        <v>268</v>
      </c>
      <c r="N33" s="2">
        <f>E33</f>
        <v>288</v>
      </c>
      <c r="O33" s="2">
        <f>F33+(C33/2)</f>
        <v>288</v>
      </c>
      <c r="Q33" s="2">
        <f>E33-(C33/2)</f>
        <v>268</v>
      </c>
      <c r="R33" s="2">
        <f>F33</f>
        <v>268</v>
      </c>
      <c r="T33" s="2">
        <f>E33</f>
        <v>288</v>
      </c>
      <c r="U33" s="2">
        <f>F33+C33</f>
        <v>308</v>
      </c>
    </row>
    <row r="34" spans="1:21" x14ac:dyDescent="0.25">
      <c r="A34" s="1" t="s">
        <v>38</v>
      </c>
      <c r="B34" s="1"/>
      <c r="C34" s="1"/>
      <c r="D34" s="1"/>
      <c r="E34" s="18" t="str">
        <f>H33&amp;","&amp;I33&amp;" "&amp;K33&amp;","&amp;L33&amp;" "&amp;N33&amp;","&amp;O33&amp;" "&amp;Q33&amp;","&amp;R33</f>
        <v>288,248 308,268 288,288 268,268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</row>
    <row r="35" spans="1:21" ht="5.85" customHeight="1" x14ac:dyDescent="0.25"/>
    <row r="36" spans="1:21" x14ac:dyDescent="0.25">
      <c r="A36" s="1" t="s">
        <v>39</v>
      </c>
      <c r="B36" s="1"/>
      <c r="C36" s="1">
        <v>40</v>
      </c>
      <c r="D36" s="1"/>
      <c r="E36" s="2">
        <v>100</v>
      </c>
      <c r="F36" s="2">
        <v>470</v>
      </c>
      <c r="H36" s="2">
        <f>E36</f>
        <v>100</v>
      </c>
      <c r="I36" s="2">
        <f>F36-(C36/2)</f>
        <v>450</v>
      </c>
      <c r="K36" s="2">
        <f>E36+(C36/2)</f>
        <v>120</v>
      </c>
      <c r="L36" s="2">
        <f>F36</f>
        <v>470</v>
      </c>
      <c r="N36" s="2">
        <f>E36</f>
        <v>100</v>
      </c>
      <c r="O36" s="2">
        <f>F36+(C36/2)</f>
        <v>490</v>
      </c>
      <c r="Q36" s="2">
        <f>E36-(C36/2)</f>
        <v>80</v>
      </c>
      <c r="R36" s="2">
        <f>F36</f>
        <v>470</v>
      </c>
      <c r="T36" s="2">
        <f>E36</f>
        <v>100</v>
      </c>
      <c r="U36" s="2">
        <f>F36+C36</f>
        <v>510</v>
      </c>
    </row>
    <row r="37" spans="1:21" x14ac:dyDescent="0.25">
      <c r="A37" s="1" t="s">
        <v>40</v>
      </c>
      <c r="B37" s="1"/>
      <c r="C37" s="1"/>
      <c r="D37" s="1"/>
      <c r="E37" s="18" t="str">
        <f>H36&amp;","&amp;I36&amp;" "&amp;K36&amp;","&amp;L36&amp;" "&amp;N36&amp;","&amp;O36&amp;" "&amp;Q36&amp;","&amp;R36</f>
        <v>100,450 120,470 100,490 80,470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</row>
    <row r="38" spans="1:21" ht="5.85" customHeight="1" x14ac:dyDescent="0.25"/>
    <row r="39" spans="1:21" x14ac:dyDescent="0.25">
      <c r="A39" s="1" t="s">
        <v>41</v>
      </c>
      <c r="B39" s="1"/>
      <c r="C39" s="1">
        <v>40</v>
      </c>
      <c r="D39" s="1"/>
      <c r="E39" s="2">
        <v>140</v>
      </c>
      <c r="F39" s="2">
        <v>540</v>
      </c>
      <c r="H39" s="2">
        <f>E39</f>
        <v>140</v>
      </c>
      <c r="I39" s="2">
        <f>F39-(C39/2)</f>
        <v>520</v>
      </c>
      <c r="K39" s="2">
        <f>E39+(C39/2)</f>
        <v>160</v>
      </c>
      <c r="L39" s="2">
        <f>F39</f>
        <v>540</v>
      </c>
      <c r="N39" s="2">
        <f>E39</f>
        <v>140</v>
      </c>
      <c r="O39" s="2">
        <f>F39+(C39/2)</f>
        <v>560</v>
      </c>
      <c r="Q39" s="2">
        <f>E39-(C39/2)</f>
        <v>120</v>
      </c>
      <c r="R39" s="2">
        <f>F39</f>
        <v>540</v>
      </c>
      <c r="T39" s="2">
        <f>E39</f>
        <v>140</v>
      </c>
      <c r="U39" s="2">
        <f>F39+C39</f>
        <v>580</v>
      </c>
    </row>
    <row r="40" spans="1:21" x14ac:dyDescent="0.25">
      <c r="A40" s="1"/>
      <c r="B40" s="1"/>
      <c r="C40" s="1"/>
      <c r="D40" s="1"/>
      <c r="E40" s="18" t="str">
        <f>H39&amp;","&amp;I39&amp;" "&amp;K39&amp;","&amp;L39&amp;" "&amp;N39&amp;","&amp;O39&amp;" "&amp;Q39&amp;","&amp;R39</f>
        <v>140,520 160,540 140,560 120,540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</row>
    <row r="41" spans="1:21" ht="4.5" customHeight="1" x14ac:dyDescent="0.25"/>
    <row r="42" spans="1:21" x14ac:dyDescent="0.25">
      <c r="A42" s="1" t="s">
        <v>42</v>
      </c>
      <c r="B42" s="1"/>
      <c r="C42" s="1">
        <v>40</v>
      </c>
      <c r="D42" s="1"/>
      <c r="E42" s="2">
        <v>180</v>
      </c>
      <c r="F42" s="2">
        <v>570</v>
      </c>
      <c r="H42" s="2">
        <f>E42</f>
        <v>180</v>
      </c>
      <c r="I42" s="2">
        <f>F42-(C42/2)</f>
        <v>550</v>
      </c>
      <c r="K42" s="2">
        <f>E42+(C42/2)</f>
        <v>200</v>
      </c>
      <c r="L42" s="2">
        <f>F42</f>
        <v>570</v>
      </c>
      <c r="N42" s="2">
        <f>E42</f>
        <v>180</v>
      </c>
      <c r="O42" s="2">
        <f>F42+(C42/2)</f>
        <v>590</v>
      </c>
      <c r="Q42" s="2">
        <f>E42-(C42/2)</f>
        <v>160</v>
      </c>
      <c r="R42" s="2">
        <f>F42</f>
        <v>570</v>
      </c>
      <c r="T42" s="2">
        <f>E42</f>
        <v>180</v>
      </c>
      <c r="U42" s="2">
        <f>F42+C42</f>
        <v>610</v>
      </c>
    </row>
    <row r="43" spans="1:21" x14ac:dyDescent="0.25">
      <c r="A43" s="1"/>
      <c r="B43" s="1"/>
      <c r="C43" s="1"/>
      <c r="D43" s="1"/>
      <c r="E43" s="18" t="str">
        <f>H42&amp;","&amp;I42&amp;" "&amp;K42&amp;","&amp;L42&amp;" "&amp;N42&amp;","&amp;O42&amp;" "&amp;Q42&amp;","&amp;R42</f>
        <v>180,550 200,570 180,590 160,570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</row>
    <row r="44" spans="1:21" ht="5.85" customHeight="1" x14ac:dyDescent="0.25"/>
    <row r="45" spans="1:21" ht="15" customHeight="1" x14ac:dyDescent="0.25"/>
    <row r="46" spans="1:21" x14ac:dyDescent="0.25">
      <c r="A46" s="1" t="s">
        <v>43</v>
      </c>
      <c r="B46" s="1"/>
      <c r="C46" s="1">
        <v>40</v>
      </c>
      <c r="D46" s="1"/>
      <c r="E46" s="2">
        <v>348</v>
      </c>
      <c r="F46" s="2">
        <v>534</v>
      </c>
      <c r="H46" s="2">
        <f>E46</f>
        <v>348</v>
      </c>
      <c r="I46" s="2">
        <f>F46-(C46/2)</f>
        <v>514</v>
      </c>
      <c r="K46" s="2">
        <f>E46+(C46/2)</f>
        <v>368</v>
      </c>
      <c r="L46" s="2">
        <f>F46</f>
        <v>534</v>
      </c>
      <c r="N46" s="2">
        <f>E46</f>
        <v>348</v>
      </c>
      <c r="O46" s="2">
        <f>F46+(C46/2)</f>
        <v>554</v>
      </c>
      <c r="Q46" s="2">
        <f>E46-(C46/2)</f>
        <v>328</v>
      </c>
      <c r="R46" s="2">
        <f>F46</f>
        <v>534</v>
      </c>
      <c r="T46" s="2">
        <f>E46</f>
        <v>348</v>
      </c>
      <c r="U46" s="2">
        <f>F46+C46</f>
        <v>574</v>
      </c>
    </row>
    <row r="47" spans="1:21" x14ac:dyDescent="0.25">
      <c r="A47" s="1"/>
      <c r="B47" s="1"/>
      <c r="C47" s="1"/>
      <c r="D47" s="1"/>
      <c r="E47" s="18" t="str">
        <f>H46&amp;","&amp;I46&amp;" "&amp;K46&amp;","&amp;L46&amp;" "&amp;N46&amp;","&amp;O46&amp;" "&amp;Q46&amp;","&amp;R46</f>
        <v>348,514 368,534 348,554 328,534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</row>
    <row r="48" spans="1:21" ht="5.85" customHeight="1" x14ac:dyDescent="0.25"/>
    <row r="49" spans="1:21" x14ac:dyDescent="0.25">
      <c r="A49" s="1" t="s">
        <v>44</v>
      </c>
      <c r="B49" s="1"/>
      <c r="C49" s="1">
        <v>40</v>
      </c>
      <c r="D49" s="1"/>
      <c r="E49" s="2">
        <v>406</v>
      </c>
      <c r="F49" s="2">
        <v>558</v>
      </c>
      <c r="H49" s="2">
        <f>E49</f>
        <v>406</v>
      </c>
      <c r="I49" s="2">
        <f>F49-(C49/2)</f>
        <v>538</v>
      </c>
      <c r="K49" s="2">
        <f>E49+(C49/2)</f>
        <v>426</v>
      </c>
      <c r="L49" s="2">
        <f>F49</f>
        <v>558</v>
      </c>
      <c r="N49" s="2">
        <f>E49</f>
        <v>406</v>
      </c>
      <c r="O49" s="2">
        <f>F49+(C49/2)</f>
        <v>578</v>
      </c>
      <c r="Q49" s="2">
        <f>E49-(C49/2)</f>
        <v>386</v>
      </c>
      <c r="R49" s="2">
        <f>F49</f>
        <v>558</v>
      </c>
      <c r="T49" s="2">
        <f>E49</f>
        <v>406</v>
      </c>
      <c r="U49" s="2">
        <f>F49+C49</f>
        <v>598</v>
      </c>
    </row>
    <row r="50" spans="1:21" x14ac:dyDescent="0.25">
      <c r="A50" s="1"/>
      <c r="B50" s="1"/>
      <c r="C50" s="1"/>
      <c r="D50" s="1"/>
      <c r="E50" s="18" t="str">
        <f>H49&amp;","&amp;I49&amp;" "&amp;K49&amp;","&amp;L49&amp;" "&amp;N49&amp;","&amp;O49&amp;" "&amp;Q49&amp;","&amp;R49</f>
        <v>406,538 426,558 406,578 386,558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</row>
    <row r="51" spans="1:21" ht="5.85" customHeight="1" x14ac:dyDescent="0.25"/>
    <row r="52" spans="1:21" x14ac:dyDescent="0.25">
      <c r="A52" s="1" t="s">
        <v>45</v>
      </c>
      <c r="B52" s="1"/>
      <c r="C52" s="1">
        <v>40</v>
      </c>
      <c r="D52" s="1"/>
      <c r="E52" s="2">
        <v>550</v>
      </c>
      <c r="F52" s="2">
        <v>564</v>
      </c>
      <c r="H52" s="2">
        <f>E52</f>
        <v>550</v>
      </c>
      <c r="I52" s="2">
        <f>F52-(C52/2)</f>
        <v>544</v>
      </c>
      <c r="K52" s="2">
        <f>E52+(C52/2)</f>
        <v>570</v>
      </c>
      <c r="L52" s="2">
        <f>F52</f>
        <v>564</v>
      </c>
      <c r="N52" s="2">
        <f>E52</f>
        <v>550</v>
      </c>
      <c r="O52" s="2">
        <f>F52+(C52/2)</f>
        <v>584</v>
      </c>
      <c r="Q52" s="2">
        <f>E52-(C52/2)</f>
        <v>530</v>
      </c>
      <c r="R52" s="2">
        <f>F52</f>
        <v>564</v>
      </c>
      <c r="T52" s="2">
        <f>E52</f>
        <v>550</v>
      </c>
      <c r="U52" s="2">
        <f>F52+C52</f>
        <v>604</v>
      </c>
    </row>
    <row r="53" spans="1:21" x14ac:dyDescent="0.25">
      <c r="A53" s="1"/>
      <c r="B53" s="1"/>
      <c r="C53" s="1"/>
      <c r="D53" s="1"/>
      <c r="E53" s="18" t="str">
        <f>H52&amp;","&amp;I52&amp;" "&amp;K52&amp;","&amp;L52&amp;" "&amp;N52&amp;","&amp;O52&amp;" "&amp;Q52&amp;","&amp;R52</f>
        <v>550,544 570,564 550,584 530,564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</row>
    <row r="54" spans="1:21" ht="5.85" customHeight="1" x14ac:dyDescent="0.25"/>
    <row r="55" spans="1:21" x14ac:dyDescent="0.25">
      <c r="A55" s="1" t="s">
        <v>35</v>
      </c>
      <c r="B55" s="1"/>
      <c r="C55" s="1">
        <v>40</v>
      </c>
      <c r="D55" s="1"/>
      <c r="E55" s="2">
        <v>640</v>
      </c>
      <c r="F55" s="2">
        <v>530</v>
      </c>
      <c r="H55" s="2">
        <f>E55</f>
        <v>640</v>
      </c>
      <c r="I55" s="2">
        <f>F55-(C55/2)</f>
        <v>510</v>
      </c>
      <c r="K55" s="2">
        <f>E55+(C55/2)</f>
        <v>660</v>
      </c>
      <c r="L55" s="2">
        <f>F55</f>
        <v>530</v>
      </c>
      <c r="N55" s="2">
        <f>E55</f>
        <v>640</v>
      </c>
      <c r="O55" s="2">
        <f>F55+(C55/2)</f>
        <v>550</v>
      </c>
      <c r="Q55" s="2">
        <f>E55-(C55/2)</f>
        <v>620</v>
      </c>
      <c r="R55" s="2">
        <f>F55</f>
        <v>530</v>
      </c>
      <c r="T55" s="2">
        <f>E55</f>
        <v>640</v>
      </c>
      <c r="U55" s="2">
        <f>F55+C55</f>
        <v>570</v>
      </c>
    </row>
    <row r="56" spans="1:21" x14ac:dyDescent="0.25">
      <c r="A56" s="1" t="s">
        <v>40</v>
      </c>
      <c r="B56" s="1"/>
      <c r="C56" s="1"/>
      <c r="D56" s="1"/>
      <c r="E56" s="18" t="str">
        <f>H55&amp;","&amp;I55&amp;" "&amp;K55&amp;","&amp;L55&amp;" "&amp;N55&amp;","&amp;O55&amp;" "&amp;Q55&amp;","&amp;R55</f>
        <v>640,510 660,530 640,550 620,530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</row>
    <row r="57" spans="1:21" ht="5.85" customHeight="1" x14ac:dyDescent="0.25"/>
    <row r="58" spans="1:21" x14ac:dyDescent="0.25">
      <c r="A58" s="1" t="s">
        <v>46</v>
      </c>
      <c r="B58" s="1"/>
      <c r="C58" s="1">
        <v>40</v>
      </c>
      <c r="D58" s="1"/>
      <c r="E58" s="2">
        <v>736</v>
      </c>
      <c r="F58" s="2">
        <v>460</v>
      </c>
      <c r="H58" s="2">
        <f>E58</f>
        <v>736</v>
      </c>
      <c r="I58" s="2">
        <f>F58-(C58/2)</f>
        <v>440</v>
      </c>
      <c r="K58" s="2">
        <f>E58+(C58/2)</f>
        <v>756</v>
      </c>
      <c r="L58" s="2">
        <f>F58</f>
        <v>460</v>
      </c>
      <c r="N58" s="2">
        <f>E58</f>
        <v>736</v>
      </c>
      <c r="O58" s="2">
        <f>F58+(C58/2)</f>
        <v>480</v>
      </c>
      <c r="Q58" s="2">
        <f>E58-(C58/2)</f>
        <v>716</v>
      </c>
      <c r="R58" s="2">
        <f>F58</f>
        <v>460</v>
      </c>
      <c r="T58" s="2">
        <f>E58</f>
        <v>736</v>
      </c>
      <c r="U58" s="2">
        <f>F58+C58</f>
        <v>500</v>
      </c>
    </row>
    <row r="59" spans="1:21" x14ac:dyDescent="0.25">
      <c r="A59" s="1"/>
      <c r="B59" s="1"/>
      <c r="C59" s="1"/>
      <c r="D59" s="1"/>
      <c r="E59" s="18" t="str">
        <f>H58&amp;","&amp;I58&amp;" "&amp;K58&amp;","&amp;L58&amp;" "&amp;N58&amp;","&amp;O58&amp;" "&amp;Q58&amp;","&amp;R58</f>
        <v>736,440 756,460 736,480 716,460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</row>
    <row r="60" spans="1:21" ht="5.85" customHeight="1" x14ac:dyDescent="0.25"/>
    <row r="61" spans="1:21" x14ac:dyDescent="0.25">
      <c r="A61" s="1" t="s">
        <v>47</v>
      </c>
      <c r="B61" s="1"/>
      <c r="C61" s="1">
        <v>40</v>
      </c>
      <c r="D61" s="1"/>
      <c r="E61" s="2">
        <v>884</v>
      </c>
      <c r="F61" s="2">
        <v>462</v>
      </c>
      <c r="H61" s="2">
        <f>E61</f>
        <v>884</v>
      </c>
      <c r="I61" s="2">
        <f>F61-(C61/2)</f>
        <v>442</v>
      </c>
      <c r="K61" s="2">
        <f>E61+(C61/2)</f>
        <v>904</v>
      </c>
      <c r="L61" s="2">
        <f>F61</f>
        <v>462</v>
      </c>
      <c r="N61" s="2">
        <f>E61</f>
        <v>884</v>
      </c>
      <c r="O61" s="2">
        <f>F61+(C61/2)</f>
        <v>482</v>
      </c>
      <c r="Q61" s="2">
        <f>E61-(C61/2)</f>
        <v>864</v>
      </c>
      <c r="R61" s="2">
        <f>F61</f>
        <v>462</v>
      </c>
      <c r="T61" s="2">
        <f>E61</f>
        <v>884</v>
      </c>
      <c r="U61" s="2">
        <f>F61+C61</f>
        <v>502</v>
      </c>
    </row>
    <row r="62" spans="1:21" x14ac:dyDescent="0.25">
      <c r="A62" s="1"/>
      <c r="B62" s="1"/>
      <c r="C62" s="1"/>
      <c r="D62" s="1"/>
      <c r="E62" s="18" t="str">
        <f>H61&amp;","&amp;I61&amp;" "&amp;K61&amp;","&amp;L61&amp;" "&amp;N61&amp;","&amp;O61&amp;" "&amp;Q61&amp;","&amp;R61</f>
        <v>884,442 904,462 884,482 864,462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</row>
    <row r="64" spans="1:21" x14ac:dyDescent="0.25">
      <c r="A64" s="1" t="s">
        <v>48</v>
      </c>
      <c r="B64" s="1"/>
      <c r="C64" s="1">
        <v>40</v>
      </c>
      <c r="D64" s="1"/>
      <c r="E64" s="2">
        <v>1012</v>
      </c>
      <c r="F64" s="2">
        <v>600</v>
      </c>
      <c r="H64" s="2">
        <f>E64</f>
        <v>1012</v>
      </c>
      <c r="I64" s="2">
        <f>F64-(C64/2)</f>
        <v>580</v>
      </c>
      <c r="K64" s="2">
        <f>E64+(C64/2)</f>
        <v>1032</v>
      </c>
      <c r="L64" s="2">
        <f>F64</f>
        <v>600</v>
      </c>
      <c r="N64" s="2">
        <f>E64</f>
        <v>1012</v>
      </c>
      <c r="O64" s="2">
        <f>F64+(C64/2)</f>
        <v>620</v>
      </c>
      <c r="Q64" s="2">
        <f>E64-(C64/2)</f>
        <v>992</v>
      </c>
      <c r="R64" s="2">
        <f>F64</f>
        <v>600</v>
      </c>
      <c r="T64" s="2">
        <f>E64</f>
        <v>1012</v>
      </c>
      <c r="U64" s="2">
        <f>F64+C64</f>
        <v>640</v>
      </c>
    </row>
    <row r="65" spans="1:21" x14ac:dyDescent="0.25">
      <c r="A65" s="1"/>
      <c r="B65" s="1"/>
      <c r="C65" s="1"/>
      <c r="D65" s="1"/>
      <c r="E65" s="18" t="str">
        <f>H64&amp;","&amp;I64&amp;" "&amp;K64&amp;","&amp;L64&amp;" "&amp;N64&amp;","&amp;O64&amp;" "&amp;Q64&amp;","&amp;R64</f>
        <v>1012,580 1032,600 1012,620 992,600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</row>
    <row r="67" spans="1:21" x14ac:dyDescent="0.25">
      <c r="A67" s="1"/>
      <c r="B67" s="1"/>
      <c r="C67" s="1">
        <v>40</v>
      </c>
      <c r="D67" s="1"/>
      <c r="H67" s="2">
        <f>E67</f>
        <v>0</v>
      </c>
      <c r="I67" s="2">
        <f>F67-(C67/2)</f>
        <v>-20</v>
      </c>
      <c r="K67" s="2">
        <f>E67+(C67/2)</f>
        <v>20</v>
      </c>
      <c r="L67" s="2">
        <f>F67</f>
        <v>0</v>
      </c>
      <c r="N67" s="2">
        <f>E67</f>
        <v>0</v>
      </c>
      <c r="O67" s="2">
        <f>F67+(C67/2)</f>
        <v>20</v>
      </c>
      <c r="Q67" s="2">
        <f>E67-(C67/2)</f>
        <v>-20</v>
      </c>
      <c r="R67" s="2">
        <f>F67</f>
        <v>0</v>
      </c>
      <c r="T67" s="2">
        <f>E67</f>
        <v>0</v>
      </c>
      <c r="U67" s="2">
        <f>F67+C67</f>
        <v>40</v>
      </c>
    </row>
    <row r="68" spans="1:21" x14ac:dyDescent="0.25">
      <c r="A68" s="1"/>
      <c r="B68" s="1"/>
      <c r="C68" s="1"/>
      <c r="D68" s="1"/>
      <c r="E68" s="18" t="str">
        <f>H67&amp;","&amp;I67&amp;" "&amp;K67&amp;","&amp;L67&amp;" "&amp;N67&amp;","&amp;O67&amp;" "&amp;Q67&amp;","&amp;R67</f>
        <v>0,-20 20,0 0,20 -20,0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</row>
    <row r="70" spans="1:21" x14ac:dyDescent="0.25">
      <c r="A70" s="1"/>
      <c r="B70" s="1"/>
      <c r="C70" s="1">
        <v>40</v>
      </c>
      <c r="D70" s="1"/>
      <c r="H70" s="2">
        <f>E70</f>
        <v>0</v>
      </c>
      <c r="I70" s="2">
        <f>F70-(C70/2)</f>
        <v>-20</v>
      </c>
      <c r="K70" s="2">
        <f>E70+(C70/2)</f>
        <v>20</v>
      </c>
      <c r="L70" s="2">
        <f>F70</f>
        <v>0</v>
      </c>
      <c r="N70" s="2">
        <f>E70</f>
        <v>0</v>
      </c>
      <c r="O70" s="2">
        <f>F70+(C70/2)</f>
        <v>20</v>
      </c>
      <c r="Q70" s="2">
        <f>E70-(C70/2)</f>
        <v>-20</v>
      </c>
      <c r="R70" s="2">
        <f>F70</f>
        <v>0</v>
      </c>
      <c r="T70" s="2">
        <f>E70</f>
        <v>0</v>
      </c>
      <c r="U70" s="2">
        <f>F70+C70</f>
        <v>40</v>
      </c>
    </row>
    <row r="71" spans="1:21" x14ac:dyDescent="0.25">
      <c r="A71" s="1"/>
      <c r="B71" s="1"/>
      <c r="C71" s="1"/>
      <c r="D71" s="1"/>
      <c r="E71" s="18" t="str">
        <f>H70&amp;","&amp;I70&amp;" "&amp;K70&amp;","&amp;L70&amp;" "&amp;N70&amp;","&amp;O70&amp;" "&amp;Q70&amp;","&amp;R70</f>
        <v>0,-20 20,0 0,20 -20,0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</row>
    <row r="73" spans="1:21" x14ac:dyDescent="0.25">
      <c r="A73" s="1"/>
      <c r="B73" s="1"/>
      <c r="C73" s="1">
        <v>40</v>
      </c>
      <c r="D73" s="1"/>
      <c r="H73" s="2">
        <f>E73</f>
        <v>0</v>
      </c>
      <c r="I73" s="2">
        <f>F73-(C73/2)</f>
        <v>-20</v>
      </c>
      <c r="K73" s="2">
        <f>E73+(C73/2)</f>
        <v>20</v>
      </c>
      <c r="L73" s="2">
        <f>F73</f>
        <v>0</v>
      </c>
      <c r="N73" s="2">
        <f>E73</f>
        <v>0</v>
      </c>
      <c r="O73" s="2">
        <f>F73+(C73/2)</f>
        <v>20</v>
      </c>
      <c r="Q73" s="2">
        <f>E73-(C73/2)</f>
        <v>-20</v>
      </c>
      <c r="R73" s="2">
        <f>F73</f>
        <v>0</v>
      </c>
      <c r="T73" s="2">
        <f>E73</f>
        <v>0</v>
      </c>
      <c r="U73" s="2">
        <f>F73+C73</f>
        <v>40</v>
      </c>
    </row>
    <row r="74" spans="1:21" x14ac:dyDescent="0.25">
      <c r="A74" s="1"/>
      <c r="B74" s="1"/>
      <c r="C74" s="1"/>
      <c r="D74" s="1"/>
      <c r="E74" s="18" t="str">
        <f>H73&amp;","&amp;I73&amp;" "&amp;K73&amp;","&amp;L73&amp;" "&amp;N73&amp;","&amp;O73&amp;" "&amp;Q73&amp;","&amp;R73</f>
        <v>0,-20 20,0 0,20 -20,0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</row>
    <row r="76" spans="1:21" x14ac:dyDescent="0.25">
      <c r="A76" s="1"/>
      <c r="B76" s="1"/>
      <c r="C76" s="1">
        <v>40</v>
      </c>
      <c r="D76" s="1"/>
      <c r="H76" s="2">
        <f>E76</f>
        <v>0</v>
      </c>
      <c r="I76" s="2">
        <f>F76-(C76/2)</f>
        <v>-20</v>
      </c>
      <c r="K76" s="2">
        <f>E76+(C76/2)</f>
        <v>20</v>
      </c>
      <c r="L76" s="2">
        <f>F76</f>
        <v>0</v>
      </c>
      <c r="N76" s="2">
        <f>E76</f>
        <v>0</v>
      </c>
      <c r="O76" s="2">
        <f>F76+(C76/2)</f>
        <v>20</v>
      </c>
      <c r="Q76" s="2">
        <f>E76-(C76/2)</f>
        <v>-20</v>
      </c>
      <c r="R76" s="2">
        <f>F76</f>
        <v>0</v>
      </c>
      <c r="T76" s="2">
        <f>E76</f>
        <v>0</v>
      </c>
      <c r="U76" s="2">
        <f>F76+C76</f>
        <v>40</v>
      </c>
    </row>
    <row r="77" spans="1:21" x14ac:dyDescent="0.25">
      <c r="A77" s="1"/>
      <c r="B77" s="1"/>
      <c r="C77" s="1"/>
      <c r="D77" s="1"/>
      <c r="E77" s="18" t="str">
        <f>H76&amp;","&amp;I76&amp;" "&amp;K76&amp;","&amp;L76&amp;" "&amp;N76&amp;","&amp;O76&amp;" "&amp;Q76&amp;","&amp;R76</f>
        <v>0,-20 20,0 0,20 -20,0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</row>
    <row r="79" spans="1:21" x14ac:dyDescent="0.25">
      <c r="A79" s="1"/>
      <c r="B79" s="1"/>
      <c r="C79" s="1">
        <v>40</v>
      </c>
      <c r="D79" s="1"/>
      <c r="H79" s="2">
        <f>E79</f>
        <v>0</v>
      </c>
      <c r="I79" s="2">
        <f>F79-(C79/2)</f>
        <v>-20</v>
      </c>
      <c r="K79" s="2">
        <f>E79+(C79/2)</f>
        <v>20</v>
      </c>
      <c r="L79" s="2">
        <f>F79</f>
        <v>0</v>
      </c>
      <c r="N79" s="2">
        <f>E79</f>
        <v>0</v>
      </c>
      <c r="O79" s="2">
        <f>F79+(C79/2)</f>
        <v>20</v>
      </c>
      <c r="Q79" s="2">
        <f>E79-(C79/2)</f>
        <v>-20</v>
      </c>
      <c r="R79" s="2">
        <f>F79</f>
        <v>0</v>
      </c>
      <c r="T79" s="2">
        <f>E79</f>
        <v>0</v>
      </c>
      <c r="U79" s="2">
        <f>F79+C79</f>
        <v>40</v>
      </c>
    </row>
    <row r="80" spans="1:21" x14ac:dyDescent="0.25">
      <c r="A80" s="1"/>
      <c r="B80" s="1"/>
      <c r="C80" s="1"/>
      <c r="D80" s="1"/>
      <c r="E80" s="18" t="str">
        <f>H79&amp;","&amp;I79&amp;" "&amp;K79&amp;","&amp;L79&amp;" "&amp;N79&amp;","&amp;O79&amp;" "&amp;Q79&amp;","&amp;R79</f>
        <v>0,-20 20,0 0,20 -20,0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</row>
  </sheetData>
  <mergeCells count="27">
    <mergeCell ref="E80:R80"/>
    <mergeCell ref="E65:R65"/>
    <mergeCell ref="E68:R68"/>
    <mergeCell ref="E71:R71"/>
    <mergeCell ref="E74:R74"/>
    <mergeCell ref="E77:R77"/>
    <mergeCell ref="E50:R50"/>
    <mergeCell ref="E53:R53"/>
    <mergeCell ref="E56:R56"/>
    <mergeCell ref="E59:R59"/>
    <mergeCell ref="E62:R62"/>
    <mergeCell ref="E34:R34"/>
    <mergeCell ref="E37:R37"/>
    <mergeCell ref="E40:R40"/>
    <mergeCell ref="E43:R43"/>
    <mergeCell ref="E47:R47"/>
    <mergeCell ref="E25:R25"/>
    <mergeCell ref="E28:R28"/>
    <mergeCell ref="E31:R31"/>
    <mergeCell ref="E4:R4"/>
    <mergeCell ref="E7:R7"/>
    <mergeCell ref="E10:R10"/>
    <mergeCell ref="E13:R13"/>
    <mergeCell ref="E19:R19"/>
    <mergeCell ref="E22:R22"/>
    <mergeCell ref="E15:R15"/>
    <mergeCell ref="E17:R17"/>
  </mergeCells>
  <pageMargins left="0.7" right="0.7" top="0.75" bottom="0.75" header="0.3" footer="0.3"/>
  <pageSetup paperSize="9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25B6A-8B67-4431-A6B4-850D2B09C94D}">
  <dimension ref="A1:V410"/>
  <sheetViews>
    <sheetView tabSelected="1" view="pageLayout" topLeftCell="A275" zoomScaleNormal="100" workbookViewId="0">
      <selection activeCell="B296" sqref="B296:S296"/>
    </sheetView>
  </sheetViews>
  <sheetFormatPr baseColWidth="10" defaultColWidth="9.140625" defaultRowHeight="15" x14ac:dyDescent="0.25"/>
  <cols>
    <col min="1" max="1" width="1" customWidth="1"/>
    <col min="2" max="2" width="20.28515625" style="2" customWidth="1"/>
    <col min="3" max="3" width="1" style="2" customWidth="1"/>
    <col min="4" max="4" width="9.140625" style="2" customWidth="1"/>
    <col min="5" max="5" width="1" style="2" customWidth="1"/>
    <col min="6" max="7" width="9.140625" style="2" customWidth="1"/>
    <col min="8" max="8" width="1" style="2" customWidth="1"/>
    <col min="9" max="10" width="9.140625" style="2" customWidth="1"/>
    <col min="11" max="11" width="1" style="2" customWidth="1"/>
    <col min="12" max="13" width="9.140625" style="2" customWidth="1"/>
    <col min="14" max="14" width="1" style="2" customWidth="1"/>
    <col min="15" max="16" width="9.140625" style="2" customWidth="1"/>
    <col min="17" max="17" width="1" style="2" customWidth="1"/>
    <col min="18" max="19" width="9.140625" style="2" customWidth="1"/>
    <col min="20" max="20" width="1" style="2" customWidth="1"/>
    <col min="21" max="22" width="9.140625" style="2"/>
  </cols>
  <sheetData>
    <row r="1" spans="1:20" ht="5.85" customHeight="1" x14ac:dyDescent="0.25">
      <c r="A1" s="7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25">
      <c r="A2" s="7"/>
      <c r="B2" s="2" t="s">
        <v>1</v>
      </c>
      <c r="D2" s="2" t="s">
        <v>26</v>
      </c>
      <c r="F2" s="2" t="s">
        <v>51</v>
      </c>
      <c r="G2" s="2" t="s">
        <v>52</v>
      </c>
      <c r="I2" s="2" t="s">
        <v>51</v>
      </c>
      <c r="J2" s="2" t="s">
        <v>52</v>
      </c>
      <c r="L2" s="2" t="s">
        <v>51</v>
      </c>
      <c r="M2" s="2" t="s">
        <v>52</v>
      </c>
      <c r="O2" s="2" t="s">
        <v>51</v>
      </c>
      <c r="P2" s="2" t="s">
        <v>52</v>
      </c>
      <c r="R2" s="2" t="s">
        <v>51</v>
      </c>
      <c r="S2" s="2" t="s">
        <v>52</v>
      </c>
      <c r="T2" s="6"/>
    </row>
    <row r="3" spans="1:20" ht="5.85" customHeight="1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s="2" customFormat="1" ht="5.8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25">
      <c r="A5" s="7"/>
      <c r="B5" s="16" t="s">
        <v>27</v>
      </c>
      <c r="C5" s="13"/>
      <c r="E5" s="13"/>
      <c r="F5" s="14" t="s">
        <v>50</v>
      </c>
      <c r="G5" s="14"/>
      <c r="H5" s="11"/>
      <c r="I5" s="12" t="s">
        <v>53</v>
      </c>
      <c r="J5" s="12"/>
      <c r="K5" s="11"/>
      <c r="L5" s="12" t="s">
        <v>54</v>
      </c>
      <c r="M5" s="12"/>
      <c r="N5" s="11"/>
      <c r="O5" s="12" t="s">
        <v>55</v>
      </c>
      <c r="P5" s="12"/>
      <c r="Q5" s="11"/>
      <c r="R5" s="12" t="s">
        <v>55</v>
      </c>
      <c r="S5" s="12"/>
      <c r="T5" s="6"/>
    </row>
    <row r="6" spans="1:20" x14ac:dyDescent="0.25">
      <c r="A6" s="7"/>
      <c r="B6" s="16"/>
      <c r="C6" s="13"/>
      <c r="D6" s="13">
        <v>40</v>
      </c>
      <c r="E6" s="13"/>
      <c r="F6" s="14">
        <v>580</v>
      </c>
      <c r="G6" s="14">
        <v>120</v>
      </c>
      <c r="H6" s="11"/>
      <c r="I6" s="4">
        <f>F6</f>
        <v>580</v>
      </c>
      <c r="J6" s="4">
        <f>G6+D6</f>
        <v>160</v>
      </c>
      <c r="K6" s="11"/>
      <c r="L6" s="4">
        <f>I6</f>
        <v>580</v>
      </c>
      <c r="M6" s="4">
        <f>J6+G5</f>
        <v>160</v>
      </c>
      <c r="N6" s="11"/>
      <c r="O6" s="4">
        <f>L6</f>
        <v>580</v>
      </c>
      <c r="P6" s="4">
        <f>M6+J5</f>
        <v>160</v>
      </c>
      <c r="Q6" s="11"/>
      <c r="R6" s="4">
        <f>O6</f>
        <v>580</v>
      </c>
      <c r="S6" s="4">
        <f>P6+M5</f>
        <v>160</v>
      </c>
      <c r="T6" s="6"/>
    </row>
    <row r="7" spans="1:20" ht="5.85" customHeight="1" x14ac:dyDescent="0.25">
      <c r="A7" s="7"/>
      <c r="B7" s="16"/>
      <c r="C7" s="13"/>
      <c r="D7" s="13"/>
      <c r="E7" s="13"/>
      <c r="F7" s="14"/>
      <c r="G7" s="14"/>
      <c r="H7" s="1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6"/>
    </row>
    <row r="8" spans="1:20" x14ac:dyDescent="0.25">
      <c r="A8" s="7"/>
      <c r="B8" s="16"/>
      <c r="C8" s="13"/>
      <c r="D8" s="13"/>
      <c r="E8" s="13"/>
      <c r="F8" s="14"/>
      <c r="G8" s="14"/>
      <c r="H8" s="11"/>
      <c r="I8" s="15" t="s">
        <v>49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6"/>
    </row>
    <row r="9" spans="1:20" x14ac:dyDescent="0.25">
      <c r="A9" s="7"/>
      <c r="B9" s="16"/>
      <c r="C9" s="13"/>
      <c r="D9" s="13"/>
      <c r="E9" s="13"/>
      <c r="F9" s="14"/>
      <c r="G9" s="14"/>
      <c r="H9" s="11"/>
      <c r="I9" s="15" t="str">
        <f>I10&amp;","&amp;J10&amp;" "&amp;L10&amp;","&amp;M10&amp;" "&amp;O10&amp;","&amp;P10&amp;" "&amp;R10&amp;","&amp;S10</f>
        <v>580,100 600,120 580,140 560,120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6"/>
    </row>
    <row r="10" spans="1:20" x14ac:dyDescent="0.25">
      <c r="A10" s="7"/>
      <c r="B10" s="16"/>
      <c r="C10" s="13"/>
      <c r="D10" s="13"/>
      <c r="E10" s="13"/>
      <c r="F10" s="14"/>
      <c r="G10" s="14"/>
      <c r="H10" s="11"/>
      <c r="I10" s="5">
        <f>F6</f>
        <v>580</v>
      </c>
      <c r="J10" s="5">
        <f>G6-(D6/2)</f>
        <v>100</v>
      </c>
      <c r="K10" s="5"/>
      <c r="L10" s="5">
        <f>F6+(D6/2)</f>
        <v>600</v>
      </c>
      <c r="M10" s="5">
        <f>G6</f>
        <v>120</v>
      </c>
      <c r="N10" s="5"/>
      <c r="O10" s="5">
        <f>F6</f>
        <v>580</v>
      </c>
      <c r="P10" s="5">
        <f>G6+(D6/2)</f>
        <v>140</v>
      </c>
      <c r="Q10" s="5"/>
      <c r="R10" s="5">
        <f>F6-(D6/2)</f>
        <v>560</v>
      </c>
      <c r="S10" s="5">
        <f>G6</f>
        <v>120</v>
      </c>
      <c r="T10" s="6"/>
    </row>
    <row r="11" spans="1:20" ht="5.85" customHeight="1" x14ac:dyDescent="0.25">
      <c r="A11" s="7"/>
      <c r="B11" s="16"/>
      <c r="C11" s="13"/>
      <c r="D11" s="13"/>
      <c r="E11" s="13"/>
      <c r="F11" s="14"/>
      <c r="G11" s="14"/>
      <c r="H11" s="11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6"/>
    </row>
    <row r="12" spans="1:20" x14ac:dyDescent="0.25">
      <c r="A12" s="7"/>
      <c r="B12" s="9" t="s">
        <v>56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6"/>
    </row>
    <row r="13" spans="1:20" x14ac:dyDescent="0.25">
      <c r="A13" s="7"/>
      <c r="B13" s="10" t="str">
        <f>"&lt;g data-system="&amp;""""&amp;B5&amp;""""&amp;" class="&amp;""""&amp;"overlay trans_center"&amp;""""&amp;" onclick="&amp;""""&amp;"parent.system_click(this);"&amp;""""&amp;"&gt;"&amp;"&lt;polygon points="&amp;""""&amp;I9&amp;""""&amp;"/&gt;"&amp;"&lt;text x="&amp;""""&amp;I6&amp;""""&amp;" y="&amp;""""&amp;J6&amp;""""&amp;"&gt;"&amp;B5&amp;"&lt;/text&gt;"&amp;"&lt;/g&gt;"</f>
        <v>&lt;g data-system="BERGBAU-RUINE" class="overlay trans_center" onclick="parent.system_click(this);"&gt;&lt;polygon points="580,100 600,120 580,140 560,120"/&gt;&lt;text x="580" y="160"&gt;BERGBAU-RUINE&lt;/text&gt;&lt;/g&gt;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6"/>
    </row>
    <row r="14" spans="1:20" ht="5.85" customHeight="1" x14ac:dyDescent="0.25">
      <c r="A14" s="7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5.8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25">
      <c r="A16" s="7"/>
      <c r="B16" s="16" t="s">
        <v>28</v>
      </c>
      <c r="C16" s="13"/>
      <c r="E16" s="13"/>
      <c r="F16" s="14" t="s">
        <v>50</v>
      </c>
      <c r="G16" s="14"/>
      <c r="H16" s="11"/>
      <c r="I16" s="12" t="s">
        <v>53</v>
      </c>
      <c r="J16" s="12"/>
      <c r="K16" s="11"/>
      <c r="L16" s="12" t="s">
        <v>54</v>
      </c>
      <c r="M16" s="12"/>
      <c r="N16" s="11"/>
      <c r="O16" s="12" t="s">
        <v>55</v>
      </c>
      <c r="P16" s="12"/>
      <c r="Q16" s="11"/>
      <c r="R16" s="12" t="s">
        <v>55</v>
      </c>
      <c r="S16" s="12"/>
      <c r="T16" s="6"/>
    </row>
    <row r="17" spans="1:20" x14ac:dyDescent="0.25">
      <c r="A17" s="7"/>
      <c r="B17" s="16"/>
      <c r="C17" s="13"/>
      <c r="D17" s="13">
        <v>40</v>
      </c>
      <c r="E17" s="13"/>
      <c r="F17" s="14">
        <v>520</v>
      </c>
      <c r="G17" s="14">
        <v>180</v>
      </c>
      <c r="H17" s="11"/>
      <c r="I17" s="4">
        <f>F17</f>
        <v>520</v>
      </c>
      <c r="J17" s="4">
        <f>G17+D17</f>
        <v>220</v>
      </c>
      <c r="K17" s="11"/>
      <c r="L17" s="4">
        <f>I17</f>
        <v>520</v>
      </c>
      <c r="M17" s="4">
        <f>J17+G16</f>
        <v>220</v>
      </c>
      <c r="N17" s="11"/>
      <c r="O17" s="4">
        <f>L17</f>
        <v>520</v>
      </c>
      <c r="P17" s="4">
        <f>M17+J16</f>
        <v>220</v>
      </c>
      <c r="Q17" s="11"/>
      <c r="R17" s="4">
        <f>O17</f>
        <v>520</v>
      </c>
      <c r="S17" s="4">
        <f>P17+M16</f>
        <v>220</v>
      </c>
      <c r="T17" s="6"/>
    </row>
    <row r="18" spans="1:20" x14ac:dyDescent="0.25">
      <c r="A18" s="7"/>
      <c r="B18" s="16"/>
      <c r="C18" s="13"/>
      <c r="D18" s="13"/>
      <c r="E18" s="13"/>
      <c r="F18" s="14"/>
      <c r="G18" s="14"/>
      <c r="H18" s="11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6"/>
    </row>
    <row r="19" spans="1:20" x14ac:dyDescent="0.25">
      <c r="A19" s="7"/>
      <c r="B19" s="16"/>
      <c r="C19" s="13"/>
      <c r="D19" s="13"/>
      <c r="E19" s="13"/>
      <c r="F19" s="14"/>
      <c r="G19" s="14"/>
      <c r="H19" s="11"/>
      <c r="I19" s="15" t="s">
        <v>49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6"/>
    </row>
    <row r="20" spans="1:20" x14ac:dyDescent="0.25">
      <c r="A20" s="7"/>
      <c r="B20" s="16"/>
      <c r="C20" s="13"/>
      <c r="D20" s="13"/>
      <c r="E20" s="13"/>
      <c r="F20" s="14"/>
      <c r="G20" s="14"/>
      <c r="H20" s="11"/>
      <c r="I20" s="15" t="str">
        <f>I21&amp;","&amp;J21&amp;" "&amp;L21&amp;","&amp;M21&amp;" "&amp;O21&amp;","&amp;P21&amp;" "&amp;R21&amp;","&amp;S21</f>
        <v>520,160 540,180 520,200 500,180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6"/>
    </row>
    <row r="21" spans="1:20" x14ac:dyDescent="0.25">
      <c r="A21" s="7"/>
      <c r="B21" s="16"/>
      <c r="C21" s="13"/>
      <c r="D21" s="13"/>
      <c r="E21" s="13"/>
      <c r="F21" s="14"/>
      <c r="G21" s="14"/>
      <c r="H21" s="11"/>
      <c r="I21" s="5">
        <f>F17</f>
        <v>520</v>
      </c>
      <c r="J21" s="5">
        <f>G17-(D17/2)</f>
        <v>160</v>
      </c>
      <c r="K21" s="5"/>
      <c r="L21" s="5">
        <f>F17+(D17/2)</f>
        <v>540</v>
      </c>
      <c r="M21" s="5">
        <f>G17</f>
        <v>180</v>
      </c>
      <c r="N21" s="5"/>
      <c r="O21" s="5">
        <f>F17</f>
        <v>520</v>
      </c>
      <c r="P21" s="5">
        <f>G17+(D17/2)</f>
        <v>200</v>
      </c>
      <c r="Q21" s="5"/>
      <c r="R21" s="5">
        <f>F17-(D17/2)</f>
        <v>500</v>
      </c>
      <c r="S21" s="5">
        <f>G17</f>
        <v>180</v>
      </c>
      <c r="T21" s="6"/>
    </row>
    <row r="22" spans="1:20" x14ac:dyDescent="0.25">
      <c r="A22" s="7"/>
      <c r="B22" s="16"/>
      <c r="C22" s="13"/>
      <c r="D22" s="13"/>
      <c r="E22" s="13"/>
      <c r="F22" s="14"/>
      <c r="G22" s="14"/>
      <c r="H22" s="11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6"/>
    </row>
    <row r="23" spans="1:20" x14ac:dyDescent="0.25">
      <c r="A23" s="7"/>
      <c r="B23" s="9" t="s">
        <v>56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6"/>
    </row>
    <row r="24" spans="1:20" x14ac:dyDescent="0.25">
      <c r="A24" s="7"/>
      <c r="B24" s="10" t="str">
        <f>"&lt;g data-system="&amp;""""&amp;B16&amp;""""&amp;" class="&amp;""""&amp;"overlay trans_center"&amp;""""&amp;" onclick="&amp;""""&amp;"parent.system_click(this);"&amp;""""&amp;"&gt;"&amp;"&lt;polygon points="&amp;""""&amp;I20&amp;""""&amp;"/&gt;"&amp;"&lt;text x="&amp;""""&amp;I17&amp;""""&amp;" y="&amp;""""&amp;J17&amp;""""&amp;"&gt;"&amp;B16&amp;"&lt;/text&gt;"&amp;"&lt;/g&gt;"</f>
        <v>&lt;g data-system="CETO OUTER RIM" class="overlay trans_center" onclick="parent.system_click(this);"&gt;&lt;polygon points="520,160 540,180 520,200 500,180"/&gt;&lt;text x="520" y="220"&gt;CETO OUTER RIM&lt;/text&gt;&lt;/g&gt;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</row>
    <row r="25" spans="1:20" ht="5.85" customHeight="1" x14ac:dyDescent="0.25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ht="5.8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25">
      <c r="A27" s="7"/>
      <c r="B27" s="16" t="s">
        <v>29</v>
      </c>
      <c r="C27" s="13"/>
      <c r="E27" s="13"/>
      <c r="F27" s="14" t="s">
        <v>50</v>
      </c>
      <c r="G27" s="14"/>
      <c r="H27" s="11"/>
      <c r="I27" s="12" t="s">
        <v>53</v>
      </c>
      <c r="J27" s="12"/>
      <c r="K27" s="11"/>
      <c r="L27" s="12" t="s">
        <v>54</v>
      </c>
      <c r="M27" s="12"/>
      <c r="N27" s="11"/>
      <c r="O27" s="12" t="s">
        <v>55</v>
      </c>
      <c r="P27" s="12"/>
      <c r="Q27" s="11"/>
      <c r="R27" s="12" t="s">
        <v>55</v>
      </c>
      <c r="S27" s="12"/>
      <c r="T27" s="6"/>
    </row>
    <row r="28" spans="1:20" x14ac:dyDescent="0.25">
      <c r="A28" s="7"/>
      <c r="B28" s="16"/>
      <c r="C28" s="13"/>
      <c r="D28" s="13">
        <v>40</v>
      </c>
      <c r="E28" s="13"/>
      <c r="F28" s="14">
        <v>700</v>
      </c>
      <c r="G28" s="14">
        <v>200</v>
      </c>
      <c r="H28" s="11"/>
      <c r="I28" s="4">
        <f>F28</f>
        <v>700</v>
      </c>
      <c r="J28" s="4">
        <f>G28+D28</f>
        <v>240</v>
      </c>
      <c r="K28" s="11"/>
      <c r="L28" s="4">
        <f>I28</f>
        <v>700</v>
      </c>
      <c r="M28" s="4">
        <f>J28+G27</f>
        <v>240</v>
      </c>
      <c r="N28" s="11"/>
      <c r="O28" s="4">
        <f>L28</f>
        <v>700</v>
      </c>
      <c r="P28" s="4">
        <f>M28+J27</f>
        <v>240</v>
      </c>
      <c r="Q28" s="11"/>
      <c r="R28" s="4">
        <f>O28</f>
        <v>700</v>
      </c>
      <c r="S28" s="4">
        <f>P28+M27</f>
        <v>240</v>
      </c>
      <c r="T28" s="6"/>
    </row>
    <row r="29" spans="1:20" x14ac:dyDescent="0.25">
      <c r="A29" s="7"/>
      <c r="B29" s="16"/>
      <c r="C29" s="13"/>
      <c r="D29" s="13"/>
      <c r="E29" s="13"/>
      <c r="F29" s="14"/>
      <c r="G29" s="14"/>
      <c r="H29" s="11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6"/>
    </row>
    <row r="30" spans="1:20" x14ac:dyDescent="0.25">
      <c r="A30" s="7"/>
      <c r="B30" s="16"/>
      <c r="C30" s="13"/>
      <c r="D30" s="13"/>
      <c r="E30" s="13"/>
      <c r="F30" s="14"/>
      <c r="G30" s="14"/>
      <c r="H30" s="11"/>
      <c r="I30" s="15" t="s">
        <v>49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6"/>
    </row>
    <row r="31" spans="1:20" x14ac:dyDescent="0.25">
      <c r="A31" s="7"/>
      <c r="B31" s="16"/>
      <c r="C31" s="13"/>
      <c r="D31" s="13"/>
      <c r="E31" s="13"/>
      <c r="F31" s="14"/>
      <c r="G31" s="14"/>
      <c r="H31" s="11"/>
      <c r="I31" s="15" t="str">
        <f>I32&amp;","&amp;J32&amp;" "&amp;L32&amp;","&amp;M32&amp;" "&amp;O32&amp;","&amp;P32&amp;" "&amp;R32&amp;","&amp;S32</f>
        <v>700,180 720,200 700,220 680,200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6"/>
    </row>
    <row r="32" spans="1:20" x14ac:dyDescent="0.25">
      <c r="A32" s="7"/>
      <c r="B32" s="16"/>
      <c r="C32" s="13"/>
      <c r="D32" s="13"/>
      <c r="E32" s="13"/>
      <c r="F32" s="14"/>
      <c r="G32" s="14"/>
      <c r="H32" s="11"/>
      <c r="I32" s="5">
        <f>F28</f>
        <v>700</v>
      </c>
      <c r="J32" s="5">
        <f>G28-(D28/2)</f>
        <v>180</v>
      </c>
      <c r="K32" s="5"/>
      <c r="L32" s="5">
        <f>F28+(D28/2)</f>
        <v>720</v>
      </c>
      <c r="M32" s="5">
        <f>G28</f>
        <v>200</v>
      </c>
      <c r="N32" s="5"/>
      <c r="O32" s="5">
        <f>F28</f>
        <v>700</v>
      </c>
      <c r="P32" s="5">
        <f>G28+(D28/2)</f>
        <v>220</v>
      </c>
      <c r="Q32" s="5"/>
      <c r="R32" s="5">
        <f>F28-(D28/2)</f>
        <v>680</v>
      </c>
      <c r="S32" s="5">
        <f>G28</f>
        <v>200</v>
      </c>
      <c r="T32" s="6"/>
    </row>
    <row r="33" spans="1:20" x14ac:dyDescent="0.25">
      <c r="A33" s="7"/>
      <c r="B33" s="16"/>
      <c r="C33" s="13"/>
      <c r="D33" s="13"/>
      <c r="E33" s="13"/>
      <c r="F33" s="14"/>
      <c r="G33" s="14"/>
      <c r="H33" s="11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6"/>
    </row>
    <row r="34" spans="1:20" x14ac:dyDescent="0.25">
      <c r="A34" s="7"/>
      <c r="B34" s="9" t="s">
        <v>56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6"/>
    </row>
    <row r="35" spans="1:20" x14ac:dyDescent="0.25">
      <c r="A35" s="7"/>
      <c r="B35" s="10" t="str">
        <f>"&lt;g data-system="&amp;""""&amp;B27&amp;""""&amp;" class="&amp;""""&amp;"overlay trans_center"&amp;""""&amp;" onclick="&amp;""""&amp;"parent.system_click(this);"&amp;""""&amp;"&gt;"&amp;"&lt;polygon points="&amp;""""&amp;I31&amp;""""&amp;"/&gt;"&amp;"&lt;text x="&amp;""""&amp;I28&amp;""""&amp;" y="&amp;""""&amp;J28&amp;""""&amp;"&gt;"&amp;B27&amp;"&lt;/text&gt;"&amp;"&lt;/g&gt;"</f>
        <v>&lt;g data-system="RHODIA ORBIT" class="overlay trans_center" onclick="parent.system_click(this);"&gt;&lt;polygon points="700,180 720,200 700,220 680,200"/&gt;&lt;text x="700" y="240"&gt;RHODIA ORBIT&lt;/text&gt;&lt;/g&gt;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6"/>
    </row>
    <row r="36" spans="1:20" ht="5.85" customHeight="1" x14ac:dyDescent="0.25">
      <c r="A36" s="7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ht="56.8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spans="1:20" ht="5.8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25">
      <c r="A39" s="7"/>
      <c r="B39" s="16" t="s">
        <v>30</v>
      </c>
      <c r="C39" s="13"/>
      <c r="E39" s="13"/>
      <c r="F39" s="14" t="s">
        <v>50</v>
      </c>
      <c r="G39" s="14"/>
      <c r="H39" s="11"/>
      <c r="I39" s="12" t="s">
        <v>53</v>
      </c>
      <c r="J39" s="12"/>
      <c r="K39" s="11"/>
      <c r="L39" s="12" t="s">
        <v>54</v>
      </c>
      <c r="M39" s="12"/>
      <c r="N39" s="11"/>
      <c r="O39" s="12" t="s">
        <v>55</v>
      </c>
      <c r="P39" s="12"/>
      <c r="Q39" s="11"/>
      <c r="R39" s="12" t="s">
        <v>55</v>
      </c>
      <c r="S39" s="12"/>
      <c r="T39" s="6"/>
    </row>
    <row r="40" spans="1:20" x14ac:dyDescent="0.25">
      <c r="A40" s="7"/>
      <c r="B40" s="16"/>
      <c r="C40" s="13"/>
      <c r="D40" s="13">
        <v>40</v>
      </c>
      <c r="E40" s="13"/>
      <c r="F40" s="14">
        <v>750</v>
      </c>
      <c r="G40" s="14">
        <v>180</v>
      </c>
      <c r="H40" s="11"/>
      <c r="I40" s="4">
        <f>F40</f>
        <v>750</v>
      </c>
      <c r="J40" s="4">
        <f>G40+D40</f>
        <v>220</v>
      </c>
      <c r="K40" s="11"/>
      <c r="L40" s="4">
        <f>I40</f>
        <v>750</v>
      </c>
      <c r="M40" s="4">
        <f>J40+G39</f>
        <v>220</v>
      </c>
      <c r="N40" s="11"/>
      <c r="O40" s="4">
        <f>L40</f>
        <v>750</v>
      </c>
      <c r="P40" s="4">
        <f>M40+J39</f>
        <v>220</v>
      </c>
      <c r="Q40" s="11"/>
      <c r="R40" s="4">
        <f>O40</f>
        <v>750</v>
      </c>
      <c r="S40" s="4">
        <f>P40+M39</f>
        <v>220</v>
      </c>
      <c r="T40" s="6"/>
    </row>
    <row r="41" spans="1:20" x14ac:dyDescent="0.25">
      <c r="A41" s="7"/>
      <c r="B41" s="16"/>
      <c r="C41" s="13"/>
      <c r="D41" s="13"/>
      <c r="E41" s="13"/>
      <c r="F41" s="14"/>
      <c r="G41" s="14"/>
      <c r="H41" s="11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6"/>
    </row>
    <row r="42" spans="1:20" x14ac:dyDescent="0.25">
      <c r="A42" s="7"/>
      <c r="B42" s="16"/>
      <c r="C42" s="13"/>
      <c r="D42" s="13"/>
      <c r="E42" s="13"/>
      <c r="F42" s="14"/>
      <c r="G42" s="14"/>
      <c r="H42" s="11"/>
      <c r="I42" s="15" t="s">
        <v>49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6"/>
    </row>
    <row r="43" spans="1:20" x14ac:dyDescent="0.25">
      <c r="A43" s="7"/>
      <c r="B43" s="16"/>
      <c r="C43" s="13"/>
      <c r="D43" s="13"/>
      <c r="E43" s="13"/>
      <c r="F43" s="14"/>
      <c r="G43" s="14"/>
      <c r="H43" s="11"/>
      <c r="I43" s="15" t="str">
        <f>I44&amp;","&amp;J44&amp;" "&amp;L44&amp;","&amp;M44&amp;" "&amp;O44&amp;","&amp;P44&amp;" "&amp;R44&amp;","&amp;S44</f>
        <v>750,160 770,180 750,200 730,180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6"/>
    </row>
    <row r="44" spans="1:20" x14ac:dyDescent="0.25">
      <c r="A44" s="7"/>
      <c r="B44" s="16"/>
      <c r="C44" s="13"/>
      <c r="D44" s="13"/>
      <c r="E44" s="13"/>
      <c r="F44" s="14"/>
      <c r="G44" s="14"/>
      <c r="H44" s="11"/>
      <c r="I44" s="5">
        <f>F40</f>
        <v>750</v>
      </c>
      <c r="J44" s="5">
        <f>G40-(D40/2)</f>
        <v>160</v>
      </c>
      <c r="K44" s="5"/>
      <c r="L44" s="5">
        <f>F40+(D40/2)</f>
        <v>770</v>
      </c>
      <c r="M44" s="5">
        <f>G40</f>
        <v>180</v>
      </c>
      <c r="N44" s="5"/>
      <c r="O44" s="5">
        <f>F40</f>
        <v>750</v>
      </c>
      <c r="P44" s="5">
        <f>G40+(D40/2)</f>
        <v>200</v>
      </c>
      <c r="Q44" s="5"/>
      <c r="R44" s="5">
        <f>F40-(D40/2)</f>
        <v>730</v>
      </c>
      <c r="S44" s="5">
        <f>G40</f>
        <v>180</v>
      </c>
      <c r="T44" s="6"/>
    </row>
    <row r="45" spans="1:20" x14ac:dyDescent="0.25">
      <c r="A45" s="7"/>
      <c r="B45" s="16"/>
      <c r="C45" s="13"/>
      <c r="D45" s="13"/>
      <c r="E45" s="13"/>
      <c r="F45" s="14"/>
      <c r="G45" s="14"/>
      <c r="H45" s="11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6"/>
    </row>
    <row r="46" spans="1:20" x14ac:dyDescent="0.25">
      <c r="A46" s="7"/>
      <c r="B46" s="9" t="s">
        <v>56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6"/>
    </row>
    <row r="47" spans="1:20" x14ac:dyDescent="0.25">
      <c r="A47" s="7"/>
      <c r="B47" s="10" t="str">
        <f>"&lt;g data-system="&amp;""""&amp;B39&amp;""""&amp;" class="&amp;""""&amp;"overlay trans_center"&amp;""""&amp;" onclick="&amp;""""&amp;"parent.system_click(this);"&amp;""""&amp;"&gt;"&amp;"&lt;polygon points="&amp;""""&amp;I43&amp;""""&amp;"/&gt;"&amp;"&lt;text x="&amp;""""&amp;I40&amp;""""&amp;" y="&amp;""""&amp;J40&amp;""""&amp;"&gt;"&amp;B39&amp;"&lt;/text&gt;"&amp;"&lt;/g&gt;"</f>
        <v>&lt;g data-system="RHODIA II" class="overlay trans_center" onclick="parent.system_click(this);"&gt;&lt;polygon points="750,160 770,180 750,200 730,180"/&gt;&lt;text x="750" y="220"&gt;RHODIA II&lt;/text&gt;&lt;/g&gt;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6"/>
    </row>
    <row r="48" spans="1:20" ht="5.85" customHeight="1" x14ac:dyDescent="0.25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ht="5.8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x14ac:dyDescent="0.25">
      <c r="A50" s="7"/>
      <c r="B50" s="16" t="s">
        <v>57</v>
      </c>
      <c r="C50" s="13"/>
      <c r="E50" s="13"/>
      <c r="F50" s="14" t="s">
        <v>50</v>
      </c>
      <c r="G50" s="14"/>
      <c r="H50" s="11"/>
      <c r="I50" s="12" t="s">
        <v>53</v>
      </c>
      <c r="J50" s="12"/>
      <c r="K50" s="11"/>
      <c r="L50" s="12" t="s">
        <v>54</v>
      </c>
      <c r="M50" s="12"/>
      <c r="N50" s="11"/>
      <c r="O50" s="12" t="s">
        <v>55</v>
      </c>
      <c r="P50" s="12"/>
      <c r="Q50" s="11"/>
      <c r="R50" s="12" t="s">
        <v>55</v>
      </c>
      <c r="S50" s="12"/>
      <c r="T50" s="6"/>
    </row>
    <row r="51" spans="1:20" x14ac:dyDescent="0.25">
      <c r="A51" s="7"/>
      <c r="B51" s="16"/>
      <c r="C51" s="13"/>
      <c r="D51" s="13">
        <v>40</v>
      </c>
      <c r="E51" s="13"/>
      <c r="F51" s="14">
        <v>288</v>
      </c>
      <c r="G51" s="14">
        <v>268</v>
      </c>
      <c r="H51" s="11"/>
      <c r="I51" s="4">
        <f>F51</f>
        <v>288</v>
      </c>
      <c r="J51" s="4">
        <f>G51+D51</f>
        <v>308</v>
      </c>
      <c r="K51" s="11"/>
      <c r="L51" s="4">
        <f>I51</f>
        <v>288</v>
      </c>
      <c r="M51" s="4">
        <f>J51+G50</f>
        <v>308</v>
      </c>
      <c r="N51" s="11"/>
      <c r="O51" s="4">
        <f>L51</f>
        <v>288</v>
      </c>
      <c r="P51" s="4">
        <f>M51+J50</f>
        <v>308</v>
      </c>
      <c r="Q51" s="11"/>
      <c r="R51" s="4">
        <f>O51</f>
        <v>288</v>
      </c>
      <c r="S51" s="4">
        <f>P51+M50</f>
        <v>308</v>
      </c>
      <c r="T51" s="6"/>
    </row>
    <row r="52" spans="1:20" x14ac:dyDescent="0.25">
      <c r="A52" s="7"/>
      <c r="B52" s="16"/>
      <c r="C52" s="13"/>
      <c r="D52" s="13"/>
      <c r="E52" s="13"/>
      <c r="F52" s="14"/>
      <c r="G52" s="14"/>
      <c r="H52" s="11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6"/>
    </row>
    <row r="53" spans="1:20" x14ac:dyDescent="0.25">
      <c r="A53" s="7"/>
      <c r="B53" s="16"/>
      <c r="C53" s="13"/>
      <c r="D53" s="13"/>
      <c r="E53" s="13"/>
      <c r="F53" s="14"/>
      <c r="G53" s="14"/>
      <c r="H53" s="11"/>
      <c r="I53" s="15" t="s">
        <v>49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6"/>
    </row>
    <row r="54" spans="1:20" x14ac:dyDescent="0.25">
      <c r="A54" s="7"/>
      <c r="B54" s="16"/>
      <c r="C54" s="13"/>
      <c r="D54" s="13"/>
      <c r="E54" s="13"/>
      <c r="F54" s="14"/>
      <c r="G54" s="14"/>
      <c r="H54" s="11"/>
      <c r="I54" s="15" t="str">
        <f>I55&amp;","&amp;J55&amp;" "&amp;L55&amp;","&amp;M55&amp;" "&amp;O55&amp;","&amp;P55&amp;" "&amp;R55&amp;","&amp;S55</f>
        <v>288,248 308,268 288,288 268,268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6"/>
    </row>
    <row r="55" spans="1:20" x14ac:dyDescent="0.25">
      <c r="A55" s="7"/>
      <c r="B55" s="16"/>
      <c r="C55" s="13"/>
      <c r="D55" s="13"/>
      <c r="E55" s="13"/>
      <c r="F55" s="14"/>
      <c r="G55" s="14"/>
      <c r="H55" s="11"/>
      <c r="I55" s="5">
        <f>F51</f>
        <v>288</v>
      </c>
      <c r="J55" s="5">
        <f>G51-(D51/2)</f>
        <v>248</v>
      </c>
      <c r="K55" s="5"/>
      <c r="L55" s="5">
        <f>F51+(D51/2)</f>
        <v>308</v>
      </c>
      <c r="M55" s="5">
        <f>G51</f>
        <v>268</v>
      </c>
      <c r="N55" s="5"/>
      <c r="O55" s="5">
        <f>F51</f>
        <v>288</v>
      </c>
      <c r="P55" s="5">
        <f>G51+(D51/2)</f>
        <v>288</v>
      </c>
      <c r="Q55" s="5"/>
      <c r="R55" s="5">
        <f>F51-(D51/2)</f>
        <v>268</v>
      </c>
      <c r="S55" s="5">
        <f>G51</f>
        <v>268</v>
      </c>
      <c r="T55" s="6"/>
    </row>
    <row r="56" spans="1:20" x14ac:dyDescent="0.25">
      <c r="A56" s="7"/>
      <c r="B56" s="16"/>
      <c r="C56" s="13"/>
      <c r="D56" s="13"/>
      <c r="E56" s="13"/>
      <c r="F56" s="14"/>
      <c r="G56" s="14"/>
      <c r="H56" s="11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6"/>
    </row>
    <row r="57" spans="1:20" x14ac:dyDescent="0.25">
      <c r="A57" s="7"/>
      <c r="B57" s="9" t="s">
        <v>56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6"/>
    </row>
    <row r="58" spans="1:20" x14ac:dyDescent="0.25">
      <c r="A58" s="7"/>
      <c r="B58" s="10" t="str">
        <f>"&lt;g data-system="&amp;""""&amp;B50&amp;""""&amp;" class="&amp;""""&amp;"overlay trans_center"&amp;""""&amp;" onclick="&amp;""""&amp;"parent.system_click(this);"&amp;""""&amp;"&gt;"&amp;"&lt;polygon points="&amp;""""&amp;I54&amp;""""&amp;"/&gt;"&amp;"&lt;text x="&amp;""""&amp;I51&amp;""""&amp;" y="&amp;""""&amp;J51&amp;""""&amp;"&gt;"&amp;B50&amp;"&lt;/text&gt;"&amp;"&lt;/g&gt;"</f>
        <v>&lt;g data-system="OUTLAW AUSSENPOSTEN" class="overlay trans_center" onclick="parent.system_click(this);"&gt;&lt;polygon points="288,248 308,268 288,288 268,268"/&gt;&lt;text x="288" y="308"&gt;OUTLAW AUSSENPOSTEN&lt;/text&gt;&lt;/g&gt;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6"/>
    </row>
    <row r="59" spans="1:20" ht="5.85" customHeight="1" x14ac:dyDescent="0.25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ht="5.8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x14ac:dyDescent="0.25">
      <c r="A61" s="7"/>
      <c r="B61" s="16" t="s">
        <v>31</v>
      </c>
      <c r="C61" s="13"/>
      <c r="E61" s="13"/>
      <c r="F61" s="14" t="s">
        <v>50</v>
      </c>
      <c r="G61" s="14"/>
      <c r="H61" s="11"/>
      <c r="I61" s="12" t="s">
        <v>53</v>
      </c>
      <c r="J61" s="12"/>
      <c r="K61" s="11"/>
      <c r="L61" s="12" t="s">
        <v>54</v>
      </c>
      <c r="M61" s="12"/>
      <c r="N61" s="11"/>
      <c r="O61" s="12" t="s">
        <v>55</v>
      </c>
      <c r="P61" s="12"/>
      <c r="Q61" s="11"/>
      <c r="R61" s="12" t="s">
        <v>55</v>
      </c>
      <c r="S61" s="12"/>
      <c r="T61" s="6"/>
    </row>
    <row r="62" spans="1:20" x14ac:dyDescent="0.25">
      <c r="A62" s="7"/>
      <c r="B62" s="16"/>
      <c r="C62" s="13"/>
      <c r="D62" s="13">
        <v>40</v>
      </c>
      <c r="E62" s="13"/>
      <c r="F62" s="14">
        <v>786</v>
      </c>
      <c r="G62" s="14">
        <v>300</v>
      </c>
      <c r="H62" s="11"/>
      <c r="I62" s="4">
        <f>F62</f>
        <v>786</v>
      </c>
      <c r="J62" s="4">
        <f>G62+D62</f>
        <v>340</v>
      </c>
      <c r="K62" s="11"/>
      <c r="L62" s="4">
        <f>I62</f>
        <v>786</v>
      </c>
      <c r="M62" s="4">
        <f>J62+G61</f>
        <v>340</v>
      </c>
      <c r="N62" s="11"/>
      <c r="O62" s="4">
        <f>L62</f>
        <v>786</v>
      </c>
      <c r="P62" s="4">
        <f>M62+J61</f>
        <v>340</v>
      </c>
      <c r="Q62" s="11"/>
      <c r="R62" s="4">
        <f>O62</f>
        <v>786</v>
      </c>
      <c r="S62" s="4">
        <f>P62+M61</f>
        <v>340</v>
      </c>
      <c r="T62" s="6"/>
    </row>
    <row r="63" spans="1:20" x14ac:dyDescent="0.25">
      <c r="A63" s="7"/>
      <c r="B63" s="16"/>
      <c r="C63" s="13"/>
      <c r="D63" s="13"/>
      <c r="E63" s="13"/>
      <c r="F63" s="14"/>
      <c r="G63" s="14"/>
      <c r="H63" s="11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6"/>
    </row>
    <row r="64" spans="1:20" x14ac:dyDescent="0.25">
      <c r="A64" s="7"/>
      <c r="B64" s="16"/>
      <c r="C64" s="13"/>
      <c r="D64" s="13"/>
      <c r="E64" s="13"/>
      <c r="F64" s="14"/>
      <c r="G64" s="14"/>
      <c r="H64" s="11"/>
      <c r="I64" s="15" t="s">
        <v>49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6"/>
    </row>
    <row r="65" spans="1:20" x14ac:dyDescent="0.25">
      <c r="A65" s="7"/>
      <c r="B65" s="16"/>
      <c r="C65" s="13"/>
      <c r="D65" s="13"/>
      <c r="E65" s="13"/>
      <c r="F65" s="14"/>
      <c r="G65" s="14"/>
      <c r="H65" s="11"/>
      <c r="I65" s="15" t="str">
        <f>I66&amp;","&amp;J66&amp;" "&amp;L66&amp;","&amp;M66&amp;" "&amp;O66&amp;","&amp;P66&amp;" "&amp;R66&amp;","&amp;S66</f>
        <v>786,280 806,300 786,320 766,300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6"/>
    </row>
    <row r="66" spans="1:20" x14ac:dyDescent="0.25">
      <c r="A66" s="7"/>
      <c r="B66" s="16"/>
      <c r="C66" s="13"/>
      <c r="D66" s="13"/>
      <c r="E66" s="13"/>
      <c r="F66" s="14"/>
      <c r="G66" s="14"/>
      <c r="H66" s="11"/>
      <c r="I66" s="5">
        <f>F62</f>
        <v>786</v>
      </c>
      <c r="J66" s="5">
        <f>G62-(D62/2)</f>
        <v>280</v>
      </c>
      <c r="K66" s="5"/>
      <c r="L66" s="5">
        <f>F62+(D62/2)</f>
        <v>806</v>
      </c>
      <c r="M66" s="5">
        <f>G62</f>
        <v>300</v>
      </c>
      <c r="N66" s="5"/>
      <c r="O66" s="5">
        <f>F62</f>
        <v>786</v>
      </c>
      <c r="P66" s="5">
        <f>G62+(D62/2)</f>
        <v>320</v>
      </c>
      <c r="Q66" s="5"/>
      <c r="R66" s="5">
        <f>F62-(D62/2)</f>
        <v>766</v>
      </c>
      <c r="S66" s="5">
        <f>G62</f>
        <v>300</v>
      </c>
      <c r="T66" s="6"/>
    </row>
    <row r="67" spans="1:20" x14ac:dyDescent="0.25">
      <c r="A67" s="7"/>
      <c r="B67" s="16"/>
      <c r="C67" s="13"/>
      <c r="D67" s="13"/>
      <c r="E67" s="13"/>
      <c r="F67" s="14"/>
      <c r="G67" s="14"/>
      <c r="H67" s="11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6"/>
    </row>
    <row r="68" spans="1:20" x14ac:dyDescent="0.25">
      <c r="A68" s="7"/>
      <c r="B68" s="9" t="s">
        <v>56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6"/>
    </row>
    <row r="69" spans="1:20" x14ac:dyDescent="0.25">
      <c r="A69" s="7"/>
      <c r="B69" s="10" t="str">
        <f>"&lt;g data-system="&amp;""""&amp;B61&amp;""""&amp;" class="&amp;""""&amp;"overlay trans_center"&amp;""""&amp;" onclick="&amp;""""&amp;"parent.system_click(this);"&amp;""""&amp;"&gt;"&amp;"&lt;polygon points="&amp;""""&amp;I65&amp;""""&amp;"/&gt;"&amp;"&lt;text x="&amp;""""&amp;I62&amp;""""&amp;" y="&amp;""""&amp;J62&amp;""""&amp;"&gt;"&amp;B61&amp;"&lt;/text&gt;"&amp;"&lt;/g&gt;"</f>
        <v>&lt;g data-system="UNION BRIDGE" class="overlay trans_center" onclick="parent.system_click(this);"&gt;&lt;polygon points="786,280 806,300 786,320 766,300"/&gt;&lt;text x="786" y="340"&gt;UNION BRIDGE&lt;/text&gt;&lt;/g&gt;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6"/>
    </row>
    <row r="70" spans="1:20" ht="5.85" customHeight="1" x14ac:dyDescent="0.25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ht="68.099999999999994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 spans="1:20" ht="5.8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x14ac:dyDescent="0.25">
      <c r="A73" s="7"/>
      <c r="B73" s="16" t="s">
        <v>62</v>
      </c>
      <c r="C73" s="13"/>
      <c r="E73" s="13"/>
      <c r="F73" s="14" t="s">
        <v>50</v>
      </c>
      <c r="G73" s="14"/>
      <c r="H73" s="11"/>
      <c r="I73" s="12" t="s">
        <v>53</v>
      </c>
      <c r="J73" s="12"/>
      <c r="K73" s="11"/>
      <c r="L73" s="12" t="s">
        <v>54</v>
      </c>
      <c r="M73" s="12"/>
      <c r="N73" s="11"/>
      <c r="O73" s="12" t="s">
        <v>55</v>
      </c>
      <c r="P73" s="12"/>
      <c r="Q73" s="11"/>
      <c r="R73" s="12" t="s">
        <v>55</v>
      </c>
      <c r="S73" s="12"/>
      <c r="T73" s="6"/>
    </row>
    <row r="74" spans="1:20" x14ac:dyDescent="0.25">
      <c r="A74" s="7"/>
      <c r="B74" s="16"/>
      <c r="C74" s="13"/>
      <c r="D74" s="13">
        <v>40</v>
      </c>
      <c r="E74" s="13"/>
      <c r="F74" s="14">
        <v>812</v>
      </c>
      <c r="G74" s="14">
        <v>384</v>
      </c>
      <c r="H74" s="11"/>
      <c r="I74" s="4">
        <f>F74</f>
        <v>812</v>
      </c>
      <c r="J74" s="4">
        <f>G74+D74</f>
        <v>424</v>
      </c>
      <c r="K74" s="11"/>
      <c r="L74" s="4">
        <f>I74</f>
        <v>812</v>
      </c>
      <c r="M74" s="4">
        <f>J74+G73</f>
        <v>424</v>
      </c>
      <c r="N74" s="11"/>
      <c r="O74" s="4">
        <f>L74</f>
        <v>812</v>
      </c>
      <c r="P74" s="4">
        <f>M74+J73</f>
        <v>424</v>
      </c>
      <c r="Q74" s="11"/>
      <c r="R74" s="4">
        <f>O74</f>
        <v>812</v>
      </c>
      <c r="S74" s="4">
        <f>P74+M73</f>
        <v>424</v>
      </c>
      <c r="T74" s="6"/>
    </row>
    <row r="75" spans="1:20" x14ac:dyDescent="0.25">
      <c r="A75" s="7"/>
      <c r="B75" s="16"/>
      <c r="C75" s="13"/>
      <c r="D75" s="13"/>
      <c r="E75" s="13"/>
      <c r="F75" s="14"/>
      <c r="G75" s="14"/>
      <c r="H75" s="11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6"/>
    </row>
    <row r="76" spans="1:20" x14ac:dyDescent="0.25">
      <c r="A76" s="7"/>
      <c r="B76" s="16"/>
      <c r="C76" s="13"/>
      <c r="D76" s="13"/>
      <c r="E76" s="13"/>
      <c r="F76" s="14"/>
      <c r="G76" s="14"/>
      <c r="H76" s="11"/>
      <c r="I76" s="15" t="s">
        <v>49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6"/>
    </row>
    <row r="77" spans="1:20" x14ac:dyDescent="0.25">
      <c r="A77" s="7"/>
      <c r="B77" s="16"/>
      <c r="C77" s="13"/>
      <c r="D77" s="13"/>
      <c r="E77" s="13"/>
      <c r="F77" s="14"/>
      <c r="G77" s="14"/>
      <c r="H77" s="11"/>
      <c r="I77" s="15" t="str">
        <f>I78&amp;","&amp;J78&amp;" "&amp;L78&amp;","&amp;M78&amp;" "&amp;O78&amp;","&amp;P78&amp;" "&amp;R78&amp;","&amp;S78</f>
        <v>812,364 832,384 812,404 792,384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6"/>
    </row>
    <row r="78" spans="1:20" x14ac:dyDescent="0.25">
      <c r="A78" s="7"/>
      <c r="B78" s="16"/>
      <c r="C78" s="13"/>
      <c r="D78" s="13"/>
      <c r="E78" s="13"/>
      <c r="F78" s="14"/>
      <c r="G78" s="14"/>
      <c r="H78" s="11"/>
      <c r="I78" s="5">
        <f>F74</f>
        <v>812</v>
      </c>
      <c r="J78" s="5">
        <f>G74-(D74/2)</f>
        <v>364</v>
      </c>
      <c r="K78" s="5"/>
      <c r="L78" s="5">
        <f>F74+(D74/2)</f>
        <v>832</v>
      </c>
      <c r="M78" s="5">
        <f>G74</f>
        <v>384</v>
      </c>
      <c r="N78" s="5"/>
      <c r="O78" s="5">
        <f>F74</f>
        <v>812</v>
      </c>
      <c r="P78" s="5">
        <f>G74+(D74/2)</f>
        <v>404</v>
      </c>
      <c r="Q78" s="5"/>
      <c r="R78" s="5">
        <f>F74-(D74/2)</f>
        <v>792</v>
      </c>
      <c r="S78" s="5">
        <f>G74</f>
        <v>384</v>
      </c>
      <c r="T78" s="6"/>
    </row>
    <row r="79" spans="1:20" x14ac:dyDescent="0.25">
      <c r="A79" s="7"/>
      <c r="B79" s="16"/>
      <c r="C79" s="13"/>
      <c r="D79" s="13"/>
      <c r="E79" s="13"/>
      <c r="F79" s="14"/>
      <c r="G79" s="14"/>
      <c r="H79" s="11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6"/>
    </row>
    <row r="80" spans="1:20" x14ac:dyDescent="0.25">
      <c r="A80" s="7"/>
      <c r="B80" s="9" t="s">
        <v>56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6"/>
    </row>
    <row r="81" spans="1:20" x14ac:dyDescent="0.25">
      <c r="A81" s="7"/>
      <c r="B81" s="10" t="str">
        <f>"&lt;g data-system="&amp;""""&amp;B73&amp;""""&amp;" class="&amp;""""&amp;"overlay trans_center"&amp;""""&amp;" onclick="&amp;""""&amp;"parent.system_click(this);"&amp;""""&amp;"&gt;"&amp;"&lt;polygon points="&amp;""""&amp;I77&amp;""""&amp;"/&gt;"&amp;"&lt;text x="&amp;""""&amp;I74&amp;""""&amp;" y="&amp;""""&amp;J74&amp;""""&amp;"&gt;"&amp;B73&amp;"&lt;/text&gt;"&amp;"&lt;/g&gt;"</f>
        <v>&lt;g data-system="ZERSTÖRTE STATION" class="overlay trans_center" onclick="parent.system_click(this);"&gt;&lt;polygon points="812,364 832,384 812,404 792,384"/&gt;&lt;text x="812" y="424"&gt;ZERSTÖRTE STATION&lt;/text&gt;&lt;/g&gt;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6"/>
    </row>
    <row r="82" spans="1:20" ht="5.85" customHeight="1" x14ac:dyDescent="0.25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ht="5.8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x14ac:dyDescent="0.25">
      <c r="A84" s="7"/>
      <c r="B84" s="16" t="s">
        <v>32</v>
      </c>
      <c r="C84" s="13"/>
      <c r="E84" s="13"/>
      <c r="F84" s="14" t="s">
        <v>50</v>
      </c>
      <c r="G84" s="14"/>
      <c r="H84" s="11"/>
      <c r="I84" s="12" t="s">
        <v>53</v>
      </c>
      <c r="J84" s="12"/>
      <c r="K84" s="11"/>
      <c r="L84" s="12" t="s">
        <v>54</v>
      </c>
      <c r="M84" s="12"/>
      <c r="N84" s="11"/>
      <c r="O84" s="12" t="s">
        <v>55</v>
      </c>
      <c r="P84" s="12"/>
      <c r="Q84" s="11"/>
      <c r="R84" s="12" t="s">
        <v>55</v>
      </c>
      <c r="S84" s="12"/>
      <c r="T84" s="6"/>
    </row>
    <row r="85" spans="1:20" x14ac:dyDescent="0.25">
      <c r="A85" s="7"/>
      <c r="B85" s="16"/>
      <c r="C85" s="13"/>
      <c r="D85" s="13">
        <v>40</v>
      </c>
      <c r="E85" s="13"/>
      <c r="F85" s="14">
        <v>960</v>
      </c>
      <c r="G85" s="14">
        <v>300</v>
      </c>
      <c r="H85" s="11"/>
      <c r="I85" s="4">
        <f>F85</f>
        <v>960</v>
      </c>
      <c r="J85" s="4">
        <f>G85+D85</f>
        <v>340</v>
      </c>
      <c r="K85" s="11"/>
      <c r="L85" s="4">
        <f>I85</f>
        <v>960</v>
      </c>
      <c r="M85" s="4">
        <f>J85+G84</f>
        <v>340</v>
      </c>
      <c r="N85" s="11"/>
      <c r="O85" s="4">
        <f>L85</f>
        <v>960</v>
      </c>
      <c r="P85" s="4">
        <f>M85+J84</f>
        <v>340</v>
      </c>
      <c r="Q85" s="11"/>
      <c r="R85" s="4">
        <f>O85</f>
        <v>960</v>
      </c>
      <c r="S85" s="4">
        <f>P85+M84</f>
        <v>340</v>
      </c>
      <c r="T85" s="6"/>
    </row>
    <row r="86" spans="1:20" x14ac:dyDescent="0.25">
      <c r="A86" s="7"/>
      <c r="B86" s="16"/>
      <c r="C86" s="13"/>
      <c r="D86" s="13"/>
      <c r="E86" s="13"/>
      <c r="F86" s="14"/>
      <c r="G86" s="14"/>
      <c r="H86" s="11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6"/>
    </row>
    <row r="87" spans="1:20" x14ac:dyDescent="0.25">
      <c r="A87" s="7"/>
      <c r="B87" s="16"/>
      <c r="C87" s="13"/>
      <c r="D87" s="13"/>
      <c r="E87" s="13"/>
      <c r="F87" s="14"/>
      <c r="G87" s="14"/>
      <c r="H87" s="11"/>
      <c r="I87" s="15" t="s">
        <v>49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6"/>
    </row>
    <row r="88" spans="1:20" x14ac:dyDescent="0.25">
      <c r="A88" s="7"/>
      <c r="B88" s="16"/>
      <c r="C88" s="13"/>
      <c r="D88" s="13"/>
      <c r="E88" s="13"/>
      <c r="F88" s="14"/>
      <c r="G88" s="14"/>
      <c r="H88" s="11"/>
      <c r="I88" s="15" t="str">
        <f>I89&amp;","&amp;J89&amp;" "&amp;L89&amp;","&amp;M89&amp;" "&amp;O89&amp;","&amp;P89&amp;" "&amp;R89&amp;","&amp;S89</f>
        <v>960,280 980,300 960,320 940,300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6"/>
    </row>
    <row r="89" spans="1:20" x14ac:dyDescent="0.25">
      <c r="A89" s="7"/>
      <c r="B89" s="16"/>
      <c r="C89" s="13"/>
      <c r="D89" s="13"/>
      <c r="E89" s="13"/>
      <c r="F89" s="14"/>
      <c r="G89" s="14"/>
      <c r="H89" s="11"/>
      <c r="I89" s="5">
        <f>F85</f>
        <v>960</v>
      </c>
      <c r="J89" s="5">
        <f>G85-(D85/2)</f>
        <v>280</v>
      </c>
      <c r="K89" s="5"/>
      <c r="L89" s="5">
        <f>F85+(D85/2)</f>
        <v>980</v>
      </c>
      <c r="M89" s="5">
        <f>G85</f>
        <v>300</v>
      </c>
      <c r="N89" s="5"/>
      <c r="O89" s="5">
        <f>F85</f>
        <v>960</v>
      </c>
      <c r="P89" s="5">
        <f>G85+(D85/2)</f>
        <v>320</v>
      </c>
      <c r="Q89" s="5"/>
      <c r="R89" s="5">
        <f>F85-(D85/2)</f>
        <v>940</v>
      </c>
      <c r="S89" s="5">
        <f>G85</f>
        <v>300</v>
      </c>
      <c r="T89" s="6"/>
    </row>
    <row r="90" spans="1:20" x14ac:dyDescent="0.25">
      <c r="A90" s="7"/>
      <c r="B90" s="16"/>
      <c r="C90" s="13"/>
      <c r="D90" s="13"/>
      <c r="E90" s="13"/>
      <c r="F90" s="14"/>
      <c r="G90" s="14"/>
      <c r="H90" s="11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6"/>
    </row>
    <row r="91" spans="1:20" x14ac:dyDescent="0.25">
      <c r="A91" s="7"/>
      <c r="B91" s="9" t="s">
        <v>56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6"/>
    </row>
    <row r="92" spans="1:20" x14ac:dyDescent="0.25">
      <c r="A92" s="7"/>
      <c r="B92" s="10" t="str">
        <f>"&lt;g data-system="&amp;""""&amp;B84&amp;""""&amp;" class="&amp;""""&amp;"overlay trans_center"&amp;""""&amp;" onclick="&amp;""""&amp;"parent.system_click(this);"&amp;""""&amp;"&gt;"&amp;"&lt;polygon points="&amp;""""&amp;I88&amp;""""&amp;"/&gt;"&amp;"&lt;text x="&amp;""""&amp;I85&amp;""""&amp;" y="&amp;""""&amp;J85&amp;""""&amp;"&gt;"&amp;B84&amp;"&lt;/text&gt;"&amp;"&lt;/g&gt;"</f>
        <v>&lt;g data-system="SCHIFFSWRACK" class="overlay trans_center" onclick="parent.system_click(this);"&gt;&lt;polygon points="960,280 980,300 960,320 940,300"/&gt;&lt;text x="960" y="340"&gt;SCHIFFSWRACK&lt;/text&gt;&lt;/g&gt;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6"/>
    </row>
    <row r="93" spans="1:20" ht="5.85" customHeight="1" x14ac:dyDescent="0.25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ht="5.8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x14ac:dyDescent="0.25">
      <c r="A95" s="7"/>
      <c r="B95" s="16" t="s">
        <v>33</v>
      </c>
      <c r="C95" s="13"/>
      <c r="E95" s="13"/>
      <c r="F95" s="14" t="s">
        <v>50</v>
      </c>
      <c r="G95" s="14"/>
      <c r="H95" s="11"/>
      <c r="I95" s="12" t="s">
        <v>53</v>
      </c>
      <c r="J95" s="12"/>
      <c r="K95" s="11"/>
      <c r="L95" s="12" t="s">
        <v>54</v>
      </c>
      <c r="M95" s="12"/>
      <c r="N95" s="11"/>
      <c r="O95" s="12" t="s">
        <v>55</v>
      </c>
      <c r="P95" s="12"/>
      <c r="Q95" s="11"/>
      <c r="R95" s="12" t="s">
        <v>55</v>
      </c>
      <c r="S95" s="12"/>
      <c r="T95" s="6"/>
    </row>
    <row r="96" spans="1:20" x14ac:dyDescent="0.25">
      <c r="A96" s="7"/>
      <c r="B96" s="16"/>
      <c r="C96" s="13"/>
      <c r="D96" s="13">
        <v>40</v>
      </c>
      <c r="E96" s="13"/>
      <c r="F96" s="14">
        <v>670</v>
      </c>
      <c r="G96" s="14">
        <v>382</v>
      </c>
      <c r="H96" s="11"/>
      <c r="I96" s="4">
        <f>F96</f>
        <v>670</v>
      </c>
      <c r="J96" s="4">
        <f>G96+D96</f>
        <v>422</v>
      </c>
      <c r="K96" s="11"/>
      <c r="L96" s="4">
        <f>I96</f>
        <v>670</v>
      </c>
      <c r="M96" s="4">
        <f>J96+G95</f>
        <v>422</v>
      </c>
      <c r="N96" s="11"/>
      <c r="O96" s="4">
        <f>L96</f>
        <v>670</v>
      </c>
      <c r="P96" s="4">
        <f>M96+J95</f>
        <v>422</v>
      </c>
      <c r="Q96" s="11"/>
      <c r="R96" s="4">
        <f>O96</f>
        <v>670</v>
      </c>
      <c r="S96" s="4">
        <f>P96+M95</f>
        <v>422</v>
      </c>
      <c r="T96" s="6"/>
    </row>
    <row r="97" spans="1:20" x14ac:dyDescent="0.25">
      <c r="A97" s="7"/>
      <c r="B97" s="16"/>
      <c r="C97" s="13"/>
      <c r="D97" s="13"/>
      <c r="E97" s="13"/>
      <c r="F97" s="14"/>
      <c r="G97" s="14"/>
      <c r="H97" s="11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6"/>
    </row>
    <row r="98" spans="1:20" x14ac:dyDescent="0.25">
      <c r="A98" s="7"/>
      <c r="B98" s="16"/>
      <c r="C98" s="13"/>
      <c r="D98" s="13"/>
      <c r="E98" s="13"/>
      <c r="F98" s="14"/>
      <c r="G98" s="14"/>
      <c r="H98" s="11"/>
      <c r="I98" s="15" t="s">
        <v>49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6"/>
    </row>
    <row r="99" spans="1:20" x14ac:dyDescent="0.25">
      <c r="A99" s="7"/>
      <c r="B99" s="16"/>
      <c r="C99" s="13"/>
      <c r="D99" s="13"/>
      <c r="E99" s="13"/>
      <c r="F99" s="14"/>
      <c r="G99" s="14"/>
      <c r="H99" s="11"/>
      <c r="I99" s="15" t="str">
        <f>I100&amp;","&amp;J100&amp;" "&amp;L100&amp;","&amp;M100&amp;" "&amp;O100&amp;","&amp;P100&amp;" "&amp;R100&amp;","&amp;S100</f>
        <v>670,362 690,382 670,402 650,382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6"/>
    </row>
    <row r="100" spans="1:20" x14ac:dyDescent="0.25">
      <c r="A100" s="7"/>
      <c r="B100" s="16"/>
      <c r="C100" s="13"/>
      <c r="D100" s="13"/>
      <c r="E100" s="13"/>
      <c r="F100" s="14"/>
      <c r="G100" s="14"/>
      <c r="H100" s="11"/>
      <c r="I100" s="5">
        <f>F96</f>
        <v>670</v>
      </c>
      <c r="J100" s="5">
        <f>G96-(D96/2)</f>
        <v>362</v>
      </c>
      <c r="K100" s="5"/>
      <c r="L100" s="5">
        <f>F96+(D96/2)</f>
        <v>690</v>
      </c>
      <c r="M100" s="5">
        <f>G96</f>
        <v>382</v>
      </c>
      <c r="N100" s="5"/>
      <c r="O100" s="5">
        <f>F96</f>
        <v>670</v>
      </c>
      <c r="P100" s="5">
        <f>G96+(D96/2)</f>
        <v>402</v>
      </c>
      <c r="Q100" s="5"/>
      <c r="R100" s="5">
        <f>F96-(D96/2)</f>
        <v>650</v>
      </c>
      <c r="S100" s="5">
        <f>G96</f>
        <v>382</v>
      </c>
      <c r="T100" s="6"/>
    </row>
    <row r="101" spans="1:20" x14ac:dyDescent="0.25">
      <c r="A101" s="7"/>
      <c r="B101" s="16"/>
      <c r="C101" s="13"/>
      <c r="D101" s="13"/>
      <c r="E101" s="13"/>
      <c r="F101" s="14"/>
      <c r="G101" s="14"/>
      <c r="H101" s="11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6"/>
    </row>
    <row r="102" spans="1:20" x14ac:dyDescent="0.25">
      <c r="A102" s="7"/>
      <c r="B102" s="9" t="s">
        <v>56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6"/>
    </row>
    <row r="103" spans="1:20" x14ac:dyDescent="0.25">
      <c r="A103" s="7"/>
      <c r="B103" s="10" t="str">
        <f>"&lt;g data-system="&amp;""""&amp;B95&amp;""""&amp;" class="&amp;""""&amp;"overlay trans_center"&amp;""""&amp;" onclick="&amp;""""&amp;"parent.system_click(this);"&amp;""""&amp;"&gt;"&amp;"&lt;polygon points="&amp;""""&amp;I99&amp;""""&amp;"/&gt;"&amp;"&lt;text x="&amp;""""&amp;I96&amp;""""&amp;" y="&amp;""""&amp;J96&amp;""""&amp;"&gt;"&amp;B95&amp;"&lt;/text&gt;"&amp;"&lt;/g&gt;"</f>
        <v>&lt;g data-system="OUTLAW GRENZLAND" class="overlay trans_center" onclick="parent.system_click(this);"&gt;&lt;polygon points="670,362 690,382 670,402 650,382"/&gt;&lt;text x="670" y="422"&gt;OUTLAW GRENZLAND&lt;/text&gt;&lt;/g&gt;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6"/>
    </row>
    <row r="104" spans="1:20" ht="5.85" customHeight="1" x14ac:dyDescent="0.25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ht="68.099999999999994" customHeight="1" x14ac:dyDescent="0.25"/>
    <row r="106" spans="1:20" ht="5.8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x14ac:dyDescent="0.25">
      <c r="A107" s="7"/>
      <c r="B107" s="16" t="s">
        <v>58</v>
      </c>
      <c r="C107" s="13"/>
      <c r="E107" s="13"/>
      <c r="F107" s="14" t="s">
        <v>50</v>
      </c>
      <c r="G107" s="14"/>
      <c r="H107" s="11"/>
      <c r="I107" s="12" t="s">
        <v>53</v>
      </c>
      <c r="J107" s="12"/>
      <c r="K107" s="11"/>
      <c r="L107" s="12" t="s">
        <v>54</v>
      </c>
      <c r="M107" s="12"/>
      <c r="N107" s="11"/>
      <c r="O107" s="12" t="s">
        <v>55</v>
      </c>
      <c r="P107" s="12"/>
      <c r="Q107" s="11"/>
      <c r="R107" s="12" t="s">
        <v>55</v>
      </c>
      <c r="S107" s="12"/>
      <c r="T107" s="6"/>
    </row>
    <row r="108" spans="1:20" x14ac:dyDescent="0.25">
      <c r="A108" s="7"/>
      <c r="B108" s="16"/>
      <c r="C108" s="13"/>
      <c r="D108" s="13">
        <v>40</v>
      </c>
      <c r="E108" s="13"/>
      <c r="F108" s="14">
        <v>100</v>
      </c>
      <c r="G108" s="14">
        <v>450</v>
      </c>
      <c r="H108" s="11"/>
      <c r="I108" s="4">
        <f>F108</f>
        <v>100</v>
      </c>
      <c r="J108" s="4">
        <f>G108+D108</f>
        <v>490</v>
      </c>
      <c r="K108" s="11"/>
      <c r="L108" s="4">
        <f>I108</f>
        <v>100</v>
      </c>
      <c r="M108" s="4">
        <f>J108+G107</f>
        <v>490</v>
      </c>
      <c r="N108" s="11"/>
      <c r="O108" s="4">
        <f>L108</f>
        <v>100</v>
      </c>
      <c r="P108" s="4">
        <f>M108+J107</f>
        <v>490</v>
      </c>
      <c r="Q108" s="11"/>
      <c r="R108" s="4">
        <f>O108</f>
        <v>100</v>
      </c>
      <c r="S108" s="4">
        <f>P108+M107</f>
        <v>490</v>
      </c>
      <c r="T108" s="6"/>
    </row>
    <row r="109" spans="1:20" x14ac:dyDescent="0.25">
      <c r="A109" s="7"/>
      <c r="B109" s="16"/>
      <c r="C109" s="13"/>
      <c r="D109" s="13"/>
      <c r="E109" s="13"/>
      <c r="F109" s="14"/>
      <c r="G109" s="14"/>
      <c r="H109" s="11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6"/>
    </row>
    <row r="110" spans="1:20" x14ac:dyDescent="0.25">
      <c r="A110" s="7"/>
      <c r="B110" s="16"/>
      <c r="C110" s="13"/>
      <c r="D110" s="13"/>
      <c r="E110" s="13"/>
      <c r="F110" s="14"/>
      <c r="G110" s="14"/>
      <c r="H110" s="11"/>
      <c r="I110" s="15" t="s">
        <v>49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6"/>
    </row>
    <row r="111" spans="1:20" x14ac:dyDescent="0.25">
      <c r="A111" s="7"/>
      <c r="B111" s="16"/>
      <c r="C111" s="13"/>
      <c r="D111" s="13"/>
      <c r="E111" s="13"/>
      <c r="F111" s="14"/>
      <c r="G111" s="14"/>
      <c r="H111" s="11"/>
      <c r="I111" s="15" t="str">
        <f>I112&amp;","&amp;J112&amp;" "&amp;L112&amp;","&amp;M112&amp;" "&amp;O112&amp;","&amp;P112&amp;" "&amp;R112&amp;","&amp;S112</f>
        <v>100,430 120,450 100,470 80,450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6"/>
    </row>
    <row r="112" spans="1:20" x14ac:dyDescent="0.25">
      <c r="A112" s="7"/>
      <c r="B112" s="16"/>
      <c r="C112" s="13"/>
      <c r="D112" s="13"/>
      <c r="E112" s="13"/>
      <c r="F112" s="14"/>
      <c r="G112" s="14"/>
      <c r="H112" s="11"/>
      <c r="I112" s="5">
        <f>F108</f>
        <v>100</v>
      </c>
      <c r="J112" s="5">
        <f>G108-(D108/2)</f>
        <v>430</v>
      </c>
      <c r="K112" s="5"/>
      <c r="L112" s="5">
        <f>F108+(D108/2)</f>
        <v>120</v>
      </c>
      <c r="M112" s="5">
        <f>G108</f>
        <v>450</v>
      </c>
      <c r="N112" s="5"/>
      <c r="O112" s="5">
        <f>F108</f>
        <v>100</v>
      </c>
      <c r="P112" s="5">
        <f>G108+(D108/2)</f>
        <v>470</v>
      </c>
      <c r="Q112" s="5"/>
      <c r="R112" s="5">
        <f>F108-(D108/2)</f>
        <v>80</v>
      </c>
      <c r="S112" s="5">
        <f>G108</f>
        <v>450</v>
      </c>
      <c r="T112" s="6"/>
    </row>
    <row r="113" spans="1:20" x14ac:dyDescent="0.25">
      <c r="A113" s="7"/>
      <c r="B113" s="16"/>
      <c r="C113" s="13"/>
      <c r="D113" s="13"/>
      <c r="E113" s="13"/>
      <c r="F113" s="14"/>
      <c r="G113" s="14"/>
      <c r="H113" s="11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6"/>
    </row>
    <row r="114" spans="1:20" x14ac:dyDescent="0.25">
      <c r="A114" s="7"/>
      <c r="B114" s="9" t="s">
        <v>56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6"/>
    </row>
    <row r="115" spans="1:20" x14ac:dyDescent="0.25">
      <c r="A115" s="7"/>
      <c r="B115" s="10" t="str">
        <f>"&lt;g data-system="&amp;""""&amp;B107&amp;""""&amp;" class="&amp;""""&amp;"overlay trans_center"&amp;""""&amp;" onclick="&amp;""""&amp;"parent.system_click(this);"&amp;""""&amp;"&gt;"&amp;"&lt;polygon points="&amp;""""&amp;I111&amp;""""&amp;"/&gt;"&amp;"&lt;text x="&amp;""""&amp;I108&amp;""""&amp;" y="&amp;""""&amp;J108&amp;""""&amp;"&gt;"&amp;B107&amp;"&lt;/text&gt;"&amp;"&lt;/g&gt;"</f>
        <v>&lt;g data-system="ZERSTÖRTE FÖRDERSTATION" class="overlay trans_center" onclick="parent.system_click(this);"&gt;&lt;polygon points="100,430 120,450 100,470 80,450"/&gt;&lt;text x="100" y="490"&gt;ZERSTÖRTE FÖRDERSTATION&lt;/text&gt;&lt;/g&gt;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6"/>
    </row>
    <row r="116" spans="1:20" ht="5.85" customHeight="1" x14ac:dyDescent="0.25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 ht="5.8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 x14ac:dyDescent="0.25">
      <c r="A118" s="7"/>
      <c r="B118" s="16" t="s">
        <v>59</v>
      </c>
      <c r="C118" s="13"/>
      <c r="E118" s="13"/>
      <c r="F118" s="14" t="s">
        <v>50</v>
      </c>
      <c r="G118" s="14"/>
      <c r="H118" s="11"/>
      <c r="I118" s="12" t="s">
        <v>53</v>
      </c>
      <c r="J118" s="12"/>
      <c r="K118" s="11"/>
      <c r="L118" s="12" t="s">
        <v>54</v>
      </c>
      <c r="M118" s="12"/>
      <c r="N118" s="11"/>
      <c r="O118" s="12" t="s">
        <v>55</v>
      </c>
      <c r="P118" s="12"/>
      <c r="Q118" s="11"/>
      <c r="R118" s="12" t="s">
        <v>55</v>
      </c>
      <c r="S118" s="12"/>
      <c r="T118" s="6"/>
    </row>
    <row r="119" spans="1:20" x14ac:dyDescent="0.25">
      <c r="A119" s="7"/>
      <c r="B119" s="16"/>
      <c r="C119" s="13"/>
      <c r="D119" s="13">
        <v>40</v>
      </c>
      <c r="E119" s="13"/>
      <c r="F119" s="14">
        <v>390</v>
      </c>
      <c r="G119" s="14">
        <v>470</v>
      </c>
      <c r="H119" s="11"/>
      <c r="I119" s="4">
        <f>F119</f>
        <v>390</v>
      </c>
      <c r="J119" s="4">
        <f>G119+D119</f>
        <v>510</v>
      </c>
      <c r="K119" s="11"/>
      <c r="L119" s="4">
        <f>I119</f>
        <v>390</v>
      </c>
      <c r="M119" s="4">
        <f>J119+G118</f>
        <v>510</v>
      </c>
      <c r="N119" s="11"/>
      <c r="O119" s="4">
        <f>L119</f>
        <v>390</v>
      </c>
      <c r="P119" s="4">
        <f>M119+J118</f>
        <v>510</v>
      </c>
      <c r="Q119" s="11"/>
      <c r="R119" s="4">
        <f>O119</f>
        <v>390</v>
      </c>
      <c r="S119" s="4">
        <f>P119+M118</f>
        <v>510</v>
      </c>
      <c r="T119" s="6"/>
    </row>
    <row r="120" spans="1:20" x14ac:dyDescent="0.25">
      <c r="A120" s="7"/>
      <c r="B120" s="16"/>
      <c r="C120" s="13"/>
      <c r="D120" s="13"/>
      <c r="E120" s="13"/>
      <c r="F120" s="14"/>
      <c r="G120" s="14"/>
      <c r="H120" s="11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6"/>
    </row>
    <row r="121" spans="1:20" x14ac:dyDescent="0.25">
      <c r="A121" s="7"/>
      <c r="B121" s="16"/>
      <c r="C121" s="13"/>
      <c r="D121" s="13"/>
      <c r="E121" s="13"/>
      <c r="F121" s="14"/>
      <c r="G121" s="14"/>
      <c r="H121" s="11"/>
      <c r="I121" s="15" t="s">
        <v>49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6"/>
    </row>
    <row r="122" spans="1:20" x14ac:dyDescent="0.25">
      <c r="A122" s="7"/>
      <c r="B122" s="16"/>
      <c r="C122" s="13"/>
      <c r="D122" s="13"/>
      <c r="E122" s="13"/>
      <c r="F122" s="14"/>
      <c r="G122" s="14"/>
      <c r="H122" s="11"/>
      <c r="I122" s="15" t="str">
        <f>I123&amp;","&amp;J123&amp;" "&amp;L123&amp;","&amp;M123&amp;" "&amp;O123&amp;","&amp;P123&amp;" "&amp;R123&amp;","&amp;S123</f>
        <v>390,450 410,470 390,490 370,470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6"/>
    </row>
    <row r="123" spans="1:20" x14ac:dyDescent="0.25">
      <c r="A123" s="7"/>
      <c r="B123" s="16"/>
      <c r="C123" s="13"/>
      <c r="D123" s="13"/>
      <c r="E123" s="13"/>
      <c r="F123" s="14"/>
      <c r="G123" s="14"/>
      <c r="H123" s="11"/>
      <c r="I123" s="5">
        <f>F119</f>
        <v>390</v>
      </c>
      <c r="J123" s="5">
        <f>G119-(D119/2)</f>
        <v>450</v>
      </c>
      <c r="K123" s="5"/>
      <c r="L123" s="5">
        <f>F119+(D119/2)</f>
        <v>410</v>
      </c>
      <c r="M123" s="5">
        <f>G119</f>
        <v>470</v>
      </c>
      <c r="N123" s="5"/>
      <c r="O123" s="5">
        <f>F119</f>
        <v>390</v>
      </c>
      <c r="P123" s="5">
        <f>G119+(D119/2)</f>
        <v>490</v>
      </c>
      <c r="Q123" s="5"/>
      <c r="R123" s="5">
        <f>F119-(D119/2)</f>
        <v>370</v>
      </c>
      <c r="S123" s="5">
        <f>G119</f>
        <v>470</v>
      </c>
      <c r="T123" s="6"/>
    </row>
    <row r="124" spans="1:20" x14ac:dyDescent="0.25">
      <c r="A124" s="7"/>
      <c r="B124" s="16"/>
      <c r="C124" s="13"/>
      <c r="D124" s="13"/>
      <c r="E124" s="13"/>
      <c r="F124" s="14"/>
      <c r="G124" s="14"/>
      <c r="H124" s="11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6"/>
    </row>
    <row r="125" spans="1:20" x14ac:dyDescent="0.25">
      <c r="A125" s="7"/>
      <c r="B125" s="9" t="s">
        <v>56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6"/>
    </row>
    <row r="126" spans="1:20" x14ac:dyDescent="0.25">
      <c r="A126" s="7"/>
      <c r="B126" s="10" t="str">
        <f>"&lt;g data-system="&amp;""""&amp;B118&amp;""""&amp;" class="&amp;""""&amp;"overlay trans_center"&amp;""""&amp;" onclick="&amp;""""&amp;"parent.system_click(this);"&amp;""""&amp;"&gt;"&amp;"&lt;polygon points="&amp;""""&amp;I122&amp;""""&amp;"/&gt;"&amp;"&lt;text x="&amp;""""&amp;I119&amp;""""&amp;" y="&amp;""""&amp;J119&amp;""""&amp;"&gt;"&amp;B118&amp;"&lt;/text&gt;"&amp;"&lt;/g&gt;"</f>
        <v>&lt;g data-system="VERLASSENE STATION" class="overlay trans_center" onclick="parent.system_click(this);"&gt;&lt;polygon points="390,450 410,470 390,490 370,470"/&gt;&lt;text x="390" y="510"&gt;VERLASSENE STATION&lt;/text&gt;&lt;/g&gt;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6"/>
    </row>
    <row r="127" spans="1:20" ht="5.85" customHeight="1" x14ac:dyDescent="0.25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ht="5.8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x14ac:dyDescent="0.25">
      <c r="A129" s="7"/>
      <c r="B129" s="16" t="s">
        <v>34</v>
      </c>
      <c r="C129" s="13"/>
      <c r="E129" s="13"/>
      <c r="F129" s="14" t="s">
        <v>50</v>
      </c>
      <c r="G129" s="14"/>
      <c r="H129" s="11"/>
      <c r="I129" s="12" t="s">
        <v>53</v>
      </c>
      <c r="J129" s="12"/>
      <c r="K129" s="11"/>
      <c r="L129" s="12" t="s">
        <v>54</v>
      </c>
      <c r="M129" s="12"/>
      <c r="N129" s="11"/>
      <c r="O129" s="12" t="s">
        <v>55</v>
      </c>
      <c r="P129" s="12"/>
      <c r="Q129" s="11"/>
      <c r="R129" s="12" t="s">
        <v>55</v>
      </c>
      <c r="S129" s="12"/>
      <c r="T129" s="6"/>
    </row>
    <row r="130" spans="1:20" x14ac:dyDescent="0.25">
      <c r="A130" s="7"/>
      <c r="B130" s="16"/>
      <c r="C130" s="13"/>
      <c r="D130" s="13">
        <v>40</v>
      </c>
      <c r="E130" s="13"/>
      <c r="F130" s="14">
        <v>588</v>
      </c>
      <c r="G130" s="14">
        <v>436</v>
      </c>
      <c r="H130" s="11"/>
      <c r="I130" s="4">
        <f>F130</f>
        <v>588</v>
      </c>
      <c r="J130" s="4">
        <f>G130+D130</f>
        <v>476</v>
      </c>
      <c r="K130" s="11"/>
      <c r="L130" s="4">
        <f>I130</f>
        <v>588</v>
      </c>
      <c r="M130" s="4">
        <f>J130+G129</f>
        <v>476</v>
      </c>
      <c r="N130" s="11"/>
      <c r="O130" s="4">
        <f>L130</f>
        <v>588</v>
      </c>
      <c r="P130" s="4">
        <f>M130+J129</f>
        <v>476</v>
      </c>
      <c r="Q130" s="11"/>
      <c r="R130" s="4">
        <f>O130</f>
        <v>588</v>
      </c>
      <c r="S130" s="4">
        <f>P130+M129</f>
        <v>476</v>
      </c>
      <c r="T130" s="6"/>
    </row>
    <row r="131" spans="1:20" x14ac:dyDescent="0.25">
      <c r="A131" s="7"/>
      <c r="B131" s="16"/>
      <c r="C131" s="13"/>
      <c r="D131" s="13"/>
      <c r="E131" s="13"/>
      <c r="F131" s="14"/>
      <c r="G131" s="14"/>
      <c r="H131" s="11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6"/>
    </row>
    <row r="132" spans="1:20" x14ac:dyDescent="0.25">
      <c r="A132" s="7"/>
      <c r="B132" s="16"/>
      <c r="C132" s="13"/>
      <c r="D132" s="13"/>
      <c r="E132" s="13"/>
      <c r="F132" s="14"/>
      <c r="G132" s="14"/>
      <c r="H132" s="11"/>
      <c r="I132" s="15" t="s">
        <v>49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6"/>
    </row>
    <row r="133" spans="1:20" x14ac:dyDescent="0.25">
      <c r="A133" s="7"/>
      <c r="B133" s="16"/>
      <c r="C133" s="13"/>
      <c r="D133" s="13"/>
      <c r="E133" s="13"/>
      <c r="F133" s="14"/>
      <c r="G133" s="14"/>
      <c r="H133" s="11"/>
      <c r="I133" s="15" t="str">
        <f>I134&amp;","&amp;J134&amp;" "&amp;L134&amp;","&amp;M134&amp;" "&amp;O134&amp;","&amp;P134&amp;" "&amp;R134&amp;","&amp;S134</f>
        <v>588,416 608,436 588,456 568,436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6"/>
    </row>
    <row r="134" spans="1:20" x14ac:dyDescent="0.25">
      <c r="A134" s="7"/>
      <c r="B134" s="16"/>
      <c r="C134" s="13"/>
      <c r="D134" s="13"/>
      <c r="E134" s="13"/>
      <c r="F134" s="14"/>
      <c r="G134" s="14"/>
      <c r="H134" s="11"/>
      <c r="I134" s="5">
        <f>F130</f>
        <v>588</v>
      </c>
      <c r="J134" s="5">
        <f>G130-(D130/2)</f>
        <v>416</v>
      </c>
      <c r="K134" s="5"/>
      <c r="L134" s="5">
        <f>F130+(D130/2)</f>
        <v>608</v>
      </c>
      <c r="M134" s="5">
        <f>G130</f>
        <v>436</v>
      </c>
      <c r="N134" s="5"/>
      <c r="O134" s="5">
        <f>F130</f>
        <v>588</v>
      </c>
      <c r="P134" s="5">
        <f>G130+(D130/2)</f>
        <v>456</v>
      </c>
      <c r="Q134" s="5"/>
      <c r="R134" s="5">
        <f>F130-(D130/2)</f>
        <v>568</v>
      </c>
      <c r="S134" s="5">
        <f>G130</f>
        <v>436</v>
      </c>
      <c r="T134" s="6"/>
    </row>
    <row r="135" spans="1:20" x14ac:dyDescent="0.25">
      <c r="A135" s="7"/>
      <c r="B135" s="16"/>
      <c r="C135" s="13"/>
      <c r="D135" s="13"/>
      <c r="E135" s="13"/>
      <c r="F135" s="14"/>
      <c r="G135" s="14"/>
      <c r="H135" s="11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6"/>
    </row>
    <row r="136" spans="1:20" x14ac:dyDescent="0.25">
      <c r="A136" s="7"/>
      <c r="B136" s="9" t="s">
        <v>56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6"/>
    </row>
    <row r="137" spans="1:20" x14ac:dyDescent="0.25">
      <c r="A137" s="7"/>
      <c r="B137" s="10" t="str">
        <f>"&lt;g data-system="&amp;""""&amp;B129&amp;""""&amp;" class="&amp;""""&amp;"overlay trans_center"&amp;""""&amp;" onclick="&amp;""""&amp;"parent.system_click(this);"&amp;""""&amp;"&gt;"&amp;"&lt;polygon points="&amp;""""&amp;I133&amp;""""&amp;"/&gt;"&amp;"&lt;text x="&amp;""""&amp;I130&amp;""""&amp;" y="&amp;""""&amp;J130&amp;""""&amp;"&gt;"&amp;B129&amp;"&lt;/text&gt;"&amp;"&lt;/g&gt;"</f>
        <v>&lt;g data-system="ASTEROIDENFELD" class="overlay trans_center" onclick="parent.system_click(this);"&gt;&lt;polygon points="588,416 608,436 588,456 568,436"/&gt;&lt;text x="588" y="476"&gt;ASTEROIDENFELD&lt;/text&gt;&lt;/g&gt;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6"/>
    </row>
    <row r="138" spans="1:20" ht="5.85" customHeight="1" x14ac:dyDescent="0.25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ht="68.099999999999994" customHeight="1" x14ac:dyDescent="0.25"/>
    <row r="140" spans="1:20" ht="5.8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x14ac:dyDescent="0.25">
      <c r="A141" s="7"/>
      <c r="B141" s="16" t="s">
        <v>46</v>
      </c>
      <c r="C141" s="13"/>
      <c r="E141" s="13"/>
      <c r="F141" s="14" t="s">
        <v>50</v>
      </c>
      <c r="G141" s="14"/>
      <c r="H141" s="11"/>
      <c r="I141" s="12" t="s">
        <v>53</v>
      </c>
      <c r="J141" s="12"/>
      <c r="K141" s="11"/>
      <c r="L141" s="12" t="s">
        <v>54</v>
      </c>
      <c r="M141" s="12"/>
      <c r="N141" s="11"/>
      <c r="O141" s="12" t="s">
        <v>55</v>
      </c>
      <c r="P141" s="12"/>
      <c r="Q141" s="11"/>
      <c r="R141" s="12" t="s">
        <v>55</v>
      </c>
      <c r="S141" s="12"/>
      <c r="T141" s="6"/>
    </row>
    <row r="142" spans="1:20" x14ac:dyDescent="0.25">
      <c r="A142" s="7"/>
      <c r="B142" s="16"/>
      <c r="C142" s="13"/>
      <c r="D142" s="13">
        <v>40</v>
      </c>
      <c r="E142" s="13"/>
      <c r="F142" s="14">
        <v>736</v>
      </c>
      <c r="G142" s="14">
        <v>460</v>
      </c>
      <c r="H142" s="11"/>
      <c r="I142" s="4">
        <f>F142</f>
        <v>736</v>
      </c>
      <c r="J142" s="4">
        <f>G142+D142</f>
        <v>500</v>
      </c>
      <c r="K142" s="11"/>
      <c r="L142" s="4">
        <f>I142</f>
        <v>736</v>
      </c>
      <c r="M142" s="4">
        <f>J142+G141</f>
        <v>500</v>
      </c>
      <c r="N142" s="11"/>
      <c r="O142" s="4">
        <f>L142</f>
        <v>736</v>
      </c>
      <c r="P142" s="4">
        <f>M142+J141</f>
        <v>500</v>
      </c>
      <c r="Q142" s="11"/>
      <c r="R142" s="4">
        <f>O142</f>
        <v>736</v>
      </c>
      <c r="S142" s="4">
        <f>P142+M141</f>
        <v>500</v>
      </c>
      <c r="T142" s="6"/>
    </row>
    <row r="143" spans="1:20" x14ac:dyDescent="0.25">
      <c r="A143" s="7"/>
      <c r="B143" s="16"/>
      <c r="C143" s="13"/>
      <c r="D143" s="13"/>
      <c r="E143" s="13"/>
      <c r="F143" s="14"/>
      <c r="G143" s="14"/>
      <c r="H143" s="11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6"/>
    </row>
    <row r="144" spans="1:20" x14ac:dyDescent="0.25">
      <c r="A144" s="7"/>
      <c r="B144" s="16"/>
      <c r="C144" s="13"/>
      <c r="D144" s="13"/>
      <c r="E144" s="13"/>
      <c r="F144" s="14"/>
      <c r="G144" s="14"/>
      <c r="H144" s="11"/>
      <c r="I144" s="15" t="s">
        <v>49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6"/>
    </row>
    <row r="145" spans="1:20" x14ac:dyDescent="0.25">
      <c r="A145" s="7"/>
      <c r="B145" s="16"/>
      <c r="C145" s="13"/>
      <c r="D145" s="13"/>
      <c r="E145" s="13"/>
      <c r="F145" s="14"/>
      <c r="G145" s="14"/>
      <c r="H145" s="11"/>
      <c r="I145" s="15" t="str">
        <f>I146&amp;","&amp;J146&amp;" "&amp;L146&amp;","&amp;M146&amp;" "&amp;O146&amp;","&amp;P146&amp;" "&amp;R146&amp;","&amp;S146</f>
        <v>736,440 756,460 736,480 716,460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6"/>
    </row>
    <row r="146" spans="1:20" x14ac:dyDescent="0.25">
      <c r="A146" s="7"/>
      <c r="B146" s="16"/>
      <c r="C146" s="13"/>
      <c r="D146" s="13"/>
      <c r="E146" s="13"/>
      <c r="F146" s="14"/>
      <c r="G146" s="14"/>
      <c r="H146" s="11"/>
      <c r="I146" s="5">
        <f>F142</f>
        <v>736</v>
      </c>
      <c r="J146" s="5">
        <f>G142-(D142/2)</f>
        <v>440</v>
      </c>
      <c r="K146" s="5"/>
      <c r="L146" s="5">
        <f>F142+(D142/2)</f>
        <v>756</v>
      </c>
      <c r="M146" s="5">
        <f>G142</f>
        <v>460</v>
      </c>
      <c r="N146" s="5"/>
      <c r="O146" s="5">
        <f>F142</f>
        <v>736</v>
      </c>
      <c r="P146" s="5">
        <f>G142+(D142/2)</f>
        <v>480</v>
      </c>
      <c r="Q146" s="5"/>
      <c r="R146" s="5">
        <f>F142-(D142/2)</f>
        <v>716</v>
      </c>
      <c r="S146" s="5">
        <f>G142</f>
        <v>460</v>
      </c>
      <c r="T146" s="6"/>
    </row>
    <row r="147" spans="1:20" x14ac:dyDescent="0.25">
      <c r="A147" s="7"/>
      <c r="B147" s="16"/>
      <c r="C147" s="13"/>
      <c r="D147" s="13"/>
      <c r="E147" s="13"/>
      <c r="F147" s="14"/>
      <c r="G147" s="14"/>
      <c r="H147" s="11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6"/>
    </row>
    <row r="148" spans="1:20" x14ac:dyDescent="0.25">
      <c r="A148" s="7"/>
      <c r="B148" s="9" t="s">
        <v>56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6"/>
    </row>
    <row r="149" spans="1:20" x14ac:dyDescent="0.25">
      <c r="A149" s="7"/>
      <c r="B149" s="10" t="str">
        <f>"&lt;g data-system="&amp;""""&amp;B141&amp;""""&amp;" class="&amp;""""&amp;"overlay trans_center"&amp;""""&amp;" onclick="&amp;""""&amp;"parent.system_click(this);"&amp;""""&amp;"&gt;"&amp;"&lt;polygon points="&amp;""""&amp;I145&amp;""""&amp;"/&gt;"&amp;"&lt;text x="&amp;""""&amp;I142&amp;""""&amp;" y="&amp;""""&amp;J142&amp;""""&amp;"&gt;"&amp;B141&amp;"&lt;/text&gt;"&amp;"&lt;/g&gt;"</f>
        <v>&lt;g data-system="FÖRDERSTÄTTE" class="overlay trans_center" onclick="parent.system_click(this);"&gt;&lt;polygon points="736,440 756,460 736,480 716,460"/&gt;&lt;text x="736" y="500"&gt;FÖRDERSTÄTTE&lt;/text&gt;&lt;/g&gt;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6"/>
    </row>
    <row r="150" spans="1:20" ht="5.85" customHeight="1" x14ac:dyDescent="0.25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ht="5.8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x14ac:dyDescent="0.25">
      <c r="A152" s="7"/>
      <c r="B152" s="16" t="s">
        <v>47</v>
      </c>
      <c r="C152" s="13"/>
      <c r="E152" s="13"/>
      <c r="F152" s="14" t="s">
        <v>50</v>
      </c>
      <c r="G152" s="14"/>
      <c r="H152" s="11"/>
      <c r="I152" s="12" t="s">
        <v>53</v>
      </c>
      <c r="J152" s="12"/>
      <c r="K152" s="11"/>
      <c r="L152" s="12" t="s">
        <v>54</v>
      </c>
      <c r="M152" s="12"/>
      <c r="N152" s="11"/>
      <c r="O152" s="12" t="s">
        <v>55</v>
      </c>
      <c r="P152" s="12"/>
      <c r="Q152" s="11"/>
      <c r="R152" s="12" t="s">
        <v>55</v>
      </c>
      <c r="S152" s="12"/>
      <c r="T152" s="6"/>
    </row>
    <row r="153" spans="1:20" x14ac:dyDescent="0.25">
      <c r="A153" s="7"/>
      <c r="B153" s="16"/>
      <c r="C153" s="13"/>
      <c r="D153" s="13">
        <v>40</v>
      </c>
      <c r="E153" s="13"/>
      <c r="F153" s="14">
        <v>884</v>
      </c>
      <c r="G153" s="14">
        <v>462</v>
      </c>
      <c r="H153" s="11"/>
      <c r="I153" s="4">
        <f>F153</f>
        <v>884</v>
      </c>
      <c r="J153" s="4">
        <f>G153+D153</f>
        <v>502</v>
      </c>
      <c r="K153" s="11"/>
      <c r="L153" s="4">
        <f>I153</f>
        <v>884</v>
      </c>
      <c r="M153" s="4">
        <f>J153+G152</f>
        <v>502</v>
      </c>
      <c r="N153" s="11"/>
      <c r="O153" s="4">
        <f>L153</f>
        <v>884</v>
      </c>
      <c r="P153" s="4">
        <f>M153+J152</f>
        <v>502</v>
      </c>
      <c r="Q153" s="11"/>
      <c r="R153" s="4">
        <f>O153</f>
        <v>884</v>
      </c>
      <c r="S153" s="4">
        <f>P153+M152</f>
        <v>502</v>
      </c>
      <c r="T153" s="6"/>
    </row>
    <row r="154" spans="1:20" x14ac:dyDescent="0.25">
      <c r="A154" s="7"/>
      <c r="B154" s="16"/>
      <c r="C154" s="13"/>
      <c r="D154" s="13"/>
      <c r="E154" s="13"/>
      <c r="F154" s="14"/>
      <c r="G154" s="14"/>
      <c r="H154" s="11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6"/>
    </row>
    <row r="155" spans="1:20" x14ac:dyDescent="0.25">
      <c r="A155" s="7"/>
      <c r="B155" s="16"/>
      <c r="C155" s="13"/>
      <c r="D155" s="13"/>
      <c r="E155" s="13"/>
      <c r="F155" s="14"/>
      <c r="G155" s="14"/>
      <c r="H155" s="11"/>
      <c r="I155" s="15" t="s">
        <v>49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6"/>
    </row>
    <row r="156" spans="1:20" x14ac:dyDescent="0.25">
      <c r="A156" s="7"/>
      <c r="B156" s="16"/>
      <c r="C156" s="13"/>
      <c r="D156" s="13"/>
      <c r="E156" s="13"/>
      <c r="F156" s="14"/>
      <c r="G156" s="14"/>
      <c r="H156" s="11"/>
      <c r="I156" s="15" t="str">
        <f>I157&amp;","&amp;J157&amp;" "&amp;L157&amp;","&amp;M157&amp;" "&amp;O157&amp;","&amp;P157&amp;" "&amp;R157&amp;","&amp;S157</f>
        <v>884,442 904,462 884,482 864,462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6"/>
    </row>
    <row r="157" spans="1:20" x14ac:dyDescent="0.25">
      <c r="A157" s="7"/>
      <c r="B157" s="16"/>
      <c r="C157" s="13"/>
      <c r="D157" s="13"/>
      <c r="E157" s="13"/>
      <c r="F157" s="14"/>
      <c r="G157" s="14"/>
      <c r="H157" s="11"/>
      <c r="I157" s="5">
        <f>F153</f>
        <v>884</v>
      </c>
      <c r="J157" s="5">
        <f>G153-(D153/2)</f>
        <v>442</v>
      </c>
      <c r="K157" s="5"/>
      <c r="L157" s="5">
        <f>F153+(D153/2)</f>
        <v>904</v>
      </c>
      <c r="M157" s="5">
        <f>G153</f>
        <v>462</v>
      </c>
      <c r="N157" s="5"/>
      <c r="O157" s="5">
        <f>F153</f>
        <v>884</v>
      </c>
      <c r="P157" s="5">
        <f>G153+(D153/2)</f>
        <v>482</v>
      </c>
      <c r="Q157" s="5"/>
      <c r="R157" s="5">
        <f>F153-(D153/2)</f>
        <v>864</v>
      </c>
      <c r="S157" s="5">
        <f>G153</f>
        <v>462</v>
      </c>
      <c r="T157" s="6"/>
    </row>
    <row r="158" spans="1:20" x14ac:dyDescent="0.25">
      <c r="A158" s="7"/>
      <c r="B158" s="16"/>
      <c r="C158" s="13"/>
      <c r="D158" s="13"/>
      <c r="E158" s="13"/>
      <c r="F158" s="14"/>
      <c r="G158" s="14"/>
      <c r="H158" s="11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6"/>
    </row>
    <row r="159" spans="1:20" x14ac:dyDescent="0.25">
      <c r="A159" s="7"/>
      <c r="B159" s="9" t="s">
        <v>56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6"/>
    </row>
    <row r="160" spans="1:20" x14ac:dyDescent="0.25">
      <c r="A160" s="7"/>
      <c r="B160" s="10" t="str">
        <f>"&lt;g data-system="&amp;""""&amp;B152&amp;""""&amp;" class="&amp;""""&amp;"overlay trans_center"&amp;""""&amp;" onclick="&amp;""""&amp;"parent.system_click(this);"&amp;""""&amp;"&gt;"&amp;"&lt;polygon points="&amp;""""&amp;I156&amp;""""&amp;"/&gt;"&amp;"&lt;text x="&amp;""""&amp;I153&amp;""""&amp;" y="&amp;""""&amp;J153&amp;""""&amp;"&gt;"&amp;B152&amp;"&lt;/text&gt;"&amp;"&lt;/g&gt;"</f>
        <v>&lt;g data-system="ALKIONE-STATION" class="overlay trans_center" onclick="parent.system_click(this);"&gt;&lt;polygon points="884,442 904,462 884,482 864,462"/&gt;&lt;text x="884" y="502"&gt;ALKIONE-STATION&lt;/text&gt;&lt;/g&gt;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6"/>
    </row>
    <row r="161" spans="1:20" ht="5.85" customHeight="1" x14ac:dyDescent="0.25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ht="5.8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x14ac:dyDescent="0.25">
      <c r="A163" s="7"/>
      <c r="B163" s="16" t="s">
        <v>60</v>
      </c>
      <c r="C163" s="13"/>
      <c r="E163" s="13"/>
      <c r="F163" s="14" t="s">
        <v>50</v>
      </c>
      <c r="G163" s="14"/>
      <c r="H163" s="11"/>
      <c r="I163" s="12" t="s">
        <v>53</v>
      </c>
      <c r="J163" s="12"/>
      <c r="K163" s="11"/>
      <c r="L163" s="12" t="s">
        <v>54</v>
      </c>
      <c r="M163" s="12"/>
      <c r="N163" s="11"/>
      <c r="O163" s="12" t="s">
        <v>55</v>
      </c>
      <c r="P163" s="12"/>
      <c r="Q163" s="11"/>
      <c r="R163" s="12" t="s">
        <v>55</v>
      </c>
      <c r="S163" s="12"/>
      <c r="T163" s="6"/>
    </row>
    <row r="164" spans="1:20" x14ac:dyDescent="0.25">
      <c r="A164" s="7"/>
      <c r="B164" s="16"/>
      <c r="C164" s="13"/>
      <c r="D164" s="13">
        <v>40</v>
      </c>
      <c r="E164" s="13"/>
      <c r="F164" s="14">
        <v>170</v>
      </c>
      <c r="G164" s="14">
        <v>530</v>
      </c>
      <c r="H164" s="11"/>
      <c r="I164" s="4">
        <f>F164</f>
        <v>170</v>
      </c>
      <c r="J164" s="4">
        <f>G164+D164</f>
        <v>570</v>
      </c>
      <c r="K164" s="11"/>
      <c r="L164" s="4">
        <f>I164</f>
        <v>170</v>
      </c>
      <c r="M164" s="4">
        <f>J164+G163</f>
        <v>570</v>
      </c>
      <c r="N164" s="11"/>
      <c r="O164" s="4">
        <f>L164</f>
        <v>170</v>
      </c>
      <c r="P164" s="4">
        <f>M164+J163</f>
        <v>570</v>
      </c>
      <c r="Q164" s="11"/>
      <c r="R164" s="4">
        <f>O164</f>
        <v>170</v>
      </c>
      <c r="S164" s="4">
        <f>P164+M163</f>
        <v>570</v>
      </c>
      <c r="T164" s="6"/>
    </row>
    <row r="165" spans="1:20" x14ac:dyDescent="0.25">
      <c r="A165" s="7"/>
      <c r="B165" s="16"/>
      <c r="C165" s="13"/>
      <c r="D165" s="13"/>
      <c r="E165" s="13"/>
      <c r="F165" s="14"/>
      <c r="G165" s="14"/>
      <c r="H165" s="11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6"/>
    </row>
    <row r="166" spans="1:20" x14ac:dyDescent="0.25">
      <c r="A166" s="7"/>
      <c r="B166" s="16"/>
      <c r="C166" s="13"/>
      <c r="D166" s="13"/>
      <c r="E166" s="13"/>
      <c r="F166" s="14"/>
      <c r="G166" s="14"/>
      <c r="H166" s="11"/>
      <c r="I166" s="15" t="s">
        <v>49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6"/>
    </row>
    <row r="167" spans="1:20" x14ac:dyDescent="0.25">
      <c r="A167" s="7"/>
      <c r="B167" s="16"/>
      <c r="C167" s="13"/>
      <c r="D167" s="13"/>
      <c r="E167" s="13"/>
      <c r="F167" s="14"/>
      <c r="G167" s="14"/>
      <c r="H167" s="11"/>
      <c r="I167" s="15" t="str">
        <f>I168&amp;","&amp;J168&amp;" "&amp;L168&amp;","&amp;M168&amp;" "&amp;O168&amp;","&amp;P168&amp;" "&amp;R168&amp;","&amp;S168</f>
        <v>170,510 190,530 170,550 150,530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6"/>
    </row>
    <row r="168" spans="1:20" x14ac:dyDescent="0.25">
      <c r="A168" s="7"/>
      <c r="B168" s="16"/>
      <c r="C168" s="13"/>
      <c r="D168" s="13"/>
      <c r="E168" s="13"/>
      <c r="F168" s="14"/>
      <c r="G168" s="14"/>
      <c r="H168" s="11"/>
      <c r="I168" s="5">
        <f>F164</f>
        <v>170</v>
      </c>
      <c r="J168" s="5">
        <f>G164-(D164/2)</f>
        <v>510</v>
      </c>
      <c r="K168" s="5"/>
      <c r="L168" s="5">
        <f>F164+(D164/2)</f>
        <v>190</v>
      </c>
      <c r="M168" s="5">
        <f>G164</f>
        <v>530</v>
      </c>
      <c r="N168" s="5"/>
      <c r="O168" s="5">
        <f>F164</f>
        <v>170</v>
      </c>
      <c r="P168" s="5">
        <f>G164+(D164/2)</f>
        <v>550</v>
      </c>
      <c r="Q168" s="5"/>
      <c r="R168" s="5">
        <f>F164-(D164/2)</f>
        <v>150</v>
      </c>
      <c r="S168" s="5">
        <f>G164</f>
        <v>530</v>
      </c>
      <c r="T168" s="6"/>
    </row>
    <row r="169" spans="1:20" x14ac:dyDescent="0.25">
      <c r="A169" s="7"/>
      <c r="B169" s="16"/>
      <c r="C169" s="13"/>
      <c r="D169" s="13"/>
      <c r="E169" s="13"/>
      <c r="F169" s="14"/>
      <c r="G169" s="14"/>
      <c r="H169" s="11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6"/>
    </row>
    <row r="170" spans="1:20" x14ac:dyDescent="0.25">
      <c r="A170" s="7"/>
      <c r="B170" s="9" t="s">
        <v>56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6"/>
    </row>
    <row r="171" spans="1:20" x14ac:dyDescent="0.25">
      <c r="A171" s="7"/>
      <c r="B171" s="10" t="str">
        <f>"&lt;g data-system="&amp;""""&amp;B163&amp;""""&amp;" class="&amp;""""&amp;"overlay trans_center"&amp;""""&amp;" onclick="&amp;""""&amp;"parent.system_click(this);"&amp;""""&amp;"&gt;"&amp;"&lt;polygon points="&amp;""""&amp;I167&amp;""""&amp;"/&gt;"&amp;"&lt;text x="&amp;""""&amp;I164&amp;""""&amp;" y="&amp;""""&amp;J164&amp;""""&amp;"&gt;"&amp;B163&amp;"&lt;/text&gt;"&amp;"&lt;/g&gt;"</f>
        <v>&lt;g data-system="PALAEMON'S WUNDE" class="overlay trans_center" onclick="parent.system_click(this);"&gt;&lt;polygon points="170,510 190,530 170,550 150,530"/&gt;&lt;text x="170" y="570"&gt;PALAEMON'S WUNDE&lt;/text&gt;&lt;/g&gt;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6"/>
    </row>
    <row r="172" spans="1:20" ht="5.85" customHeight="1" x14ac:dyDescent="0.25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ht="68.099999999999994" customHeight="1" x14ac:dyDescent="0.25"/>
    <row r="174" spans="1:20" ht="5.8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x14ac:dyDescent="0.25">
      <c r="A175" s="7"/>
      <c r="B175" s="16" t="s">
        <v>42</v>
      </c>
      <c r="C175" s="13"/>
      <c r="E175" s="13"/>
      <c r="F175" s="14" t="s">
        <v>50</v>
      </c>
      <c r="G175" s="14"/>
      <c r="H175" s="11"/>
      <c r="I175" s="12" t="s">
        <v>53</v>
      </c>
      <c r="J175" s="12"/>
      <c r="K175" s="11"/>
      <c r="L175" s="12" t="s">
        <v>54</v>
      </c>
      <c r="M175" s="12"/>
      <c r="N175" s="11"/>
      <c r="O175" s="12" t="s">
        <v>55</v>
      </c>
      <c r="P175" s="12"/>
      <c r="Q175" s="11"/>
      <c r="R175" s="12" t="s">
        <v>55</v>
      </c>
      <c r="S175" s="12"/>
      <c r="T175" s="6"/>
    </row>
    <row r="176" spans="1:20" x14ac:dyDescent="0.25">
      <c r="A176" s="7"/>
      <c r="B176" s="16"/>
      <c r="C176" s="13"/>
      <c r="D176" s="13">
        <v>40</v>
      </c>
      <c r="E176" s="13"/>
      <c r="F176" s="14">
        <v>150</v>
      </c>
      <c r="G176" s="14">
        <v>580</v>
      </c>
      <c r="H176" s="11"/>
      <c r="I176" s="4">
        <f>F176</f>
        <v>150</v>
      </c>
      <c r="J176" s="4">
        <f>G176+D176</f>
        <v>620</v>
      </c>
      <c r="K176" s="11"/>
      <c r="L176" s="4">
        <f>I176</f>
        <v>150</v>
      </c>
      <c r="M176" s="4">
        <f>J176+G175</f>
        <v>620</v>
      </c>
      <c r="N176" s="11"/>
      <c r="O176" s="4">
        <f>L176</f>
        <v>150</v>
      </c>
      <c r="P176" s="4">
        <f>M176+J175</f>
        <v>620</v>
      </c>
      <c r="Q176" s="11"/>
      <c r="R176" s="4">
        <f>O176</f>
        <v>150</v>
      </c>
      <c r="S176" s="4">
        <f>P176+M175</f>
        <v>620</v>
      </c>
      <c r="T176" s="6"/>
    </row>
    <row r="177" spans="1:20" x14ac:dyDescent="0.25">
      <c r="A177" s="7"/>
      <c r="B177" s="16"/>
      <c r="C177" s="13"/>
      <c r="D177" s="13"/>
      <c r="E177" s="13"/>
      <c r="F177" s="14"/>
      <c r="G177" s="14"/>
      <c r="H177" s="11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6"/>
    </row>
    <row r="178" spans="1:20" x14ac:dyDescent="0.25">
      <c r="A178" s="7"/>
      <c r="B178" s="16"/>
      <c r="C178" s="13"/>
      <c r="D178" s="13"/>
      <c r="E178" s="13"/>
      <c r="F178" s="14"/>
      <c r="G178" s="14"/>
      <c r="H178" s="11"/>
      <c r="I178" s="15" t="s">
        <v>49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6"/>
    </row>
    <row r="179" spans="1:20" x14ac:dyDescent="0.25">
      <c r="A179" s="7"/>
      <c r="B179" s="16"/>
      <c r="C179" s="13"/>
      <c r="D179" s="13"/>
      <c r="E179" s="13"/>
      <c r="F179" s="14"/>
      <c r="G179" s="14"/>
      <c r="H179" s="11"/>
      <c r="I179" s="15" t="str">
        <f>I180&amp;","&amp;J180&amp;" "&amp;L180&amp;","&amp;M180&amp;" "&amp;O180&amp;","&amp;P180&amp;" "&amp;R180&amp;","&amp;S180</f>
        <v>150,560 170,580 150,600 130,580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6"/>
    </row>
    <row r="180" spans="1:20" x14ac:dyDescent="0.25">
      <c r="A180" s="7"/>
      <c r="B180" s="16"/>
      <c r="C180" s="13"/>
      <c r="D180" s="13"/>
      <c r="E180" s="13"/>
      <c r="F180" s="14"/>
      <c r="G180" s="14"/>
      <c r="H180" s="11"/>
      <c r="I180" s="5">
        <f>F176</f>
        <v>150</v>
      </c>
      <c r="J180" s="5">
        <f>G176-(D176/2)</f>
        <v>560</v>
      </c>
      <c r="K180" s="5"/>
      <c r="L180" s="5">
        <f>F176+(D176/2)</f>
        <v>170</v>
      </c>
      <c r="M180" s="5">
        <f>G176</f>
        <v>580</v>
      </c>
      <c r="N180" s="5"/>
      <c r="O180" s="5">
        <f>F176</f>
        <v>150</v>
      </c>
      <c r="P180" s="5">
        <f>G176+(D176/2)</f>
        <v>600</v>
      </c>
      <c r="Q180" s="5"/>
      <c r="R180" s="5">
        <f>F176-(D176/2)</f>
        <v>130</v>
      </c>
      <c r="S180" s="5">
        <f>G176</f>
        <v>580</v>
      </c>
      <c r="T180" s="6"/>
    </row>
    <row r="181" spans="1:20" x14ac:dyDescent="0.25">
      <c r="A181" s="7"/>
      <c r="B181" s="16"/>
      <c r="C181" s="13"/>
      <c r="D181" s="13"/>
      <c r="E181" s="13"/>
      <c r="F181" s="14"/>
      <c r="G181" s="14"/>
      <c r="H181" s="11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6"/>
    </row>
    <row r="182" spans="1:20" x14ac:dyDescent="0.25">
      <c r="A182" s="7"/>
      <c r="B182" s="9" t="s">
        <v>56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6"/>
    </row>
    <row r="183" spans="1:20" x14ac:dyDescent="0.25">
      <c r="A183" s="7"/>
      <c r="B183" s="10" t="str">
        <f>"&lt;g data-system="&amp;""""&amp;B175&amp;""""&amp;" class="&amp;""""&amp;"overlay trans_center"&amp;""""&amp;" onclick="&amp;""""&amp;"parent.system_click(this);"&amp;""""&amp;"&gt;"&amp;"&lt;polygon points="&amp;""""&amp;I179&amp;""""&amp;"/&gt;"&amp;"&lt;text x="&amp;""""&amp;I176&amp;""""&amp;" y="&amp;""""&amp;J176&amp;""""&amp;"&gt;"&amp;B175&amp;"&lt;/text&gt;"&amp;"&lt;/g&gt;"</f>
        <v>&lt;g data-system="GEISTERFLOTTE" class="overlay trans_center" onclick="parent.system_click(this);"&gt;&lt;polygon points="150,560 170,580 150,600 130,580"/&gt;&lt;text x="150" y="620"&gt;GEISTERFLOTTE&lt;/text&gt;&lt;/g&gt;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6"/>
    </row>
    <row r="184" spans="1:20" ht="5.85" customHeight="1" x14ac:dyDescent="0.25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ht="5.8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x14ac:dyDescent="0.25">
      <c r="A186" s="7"/>
      <c r="B186" s="16" t="s">
        <v>43</v>
      </c>
      <c r="C186" s="13"/>
      <c r="E186" s="13"/>
      <c r="F186" s="14" t="s">
        <v>50</v>
      </c>
      <c r="G186" s="14"/>
      <c r="H186" s="11"/>
      <c r="I186" s="12" t="s">
        <v>53</v>
      </c>
      <c r="J186" s="12"/>
      <c r="K186" s="11"/>
      <c r="L186" s="12" t="s">
        <v>54</v>
      </c>
      <c r="M186" s="12"/>
      <c r="N186" s="11"/>
      <c r="O186" s="12" t="s">
        <v>55</v>
      </c>
      <c r="P186" s="12"/>
      <c r="Q186" s="11"/>
      <c r="R186" s="12" t="s">
        <v>55</v>
      </c>
      <c r="S186" s="12"/>
      <c r="T186" s="6"/>
    </row>
    <row r="187" spans="1:20" x14ac:dyDescent="0.25">
      <c r="A187" s="7"/>
      <c r="B187" s="16"/>
      <c r="C187" s="13"/>
      <c r="D187" s="13">
        <v>40</v>
      </c>
      <c r="E187" s="13"/>
      <c r="F187" s="14">
        <v>348</v>
      </c>
      <c r="G187" s="14">
        <v>534</v>
      </c>
      <c r="H187" s="11"/>
      <c r="I187" s="4">
        <f>F187</f>
        <v>348</v>
      </c>
      <c r="J187" s="4">
        <f>G187+D187</f>
        <v>574</v>
      </c>
      <c r="K187" s="11"/>
      <c r="L187" s="4">
        <f>I187</f>
        <v>348</v>
      </c>
      <c r="M187" s="4">
        <f>J187+G186</f>
        <v>574</v>
      </c>
      <c r="N187" s="11"/>
      <c r="O187" s="4">
        <f>L187</f>
        <v>348</v>
      </c>
      <c r="P187" s="4">
        <f>M187+J186</f>
        <v>574</v>
      </c>
      <c r="Q187" s="11"/>
      <c r="R187" s="4">
        <f>O187</f>
        <v>348</v>
      </c>
      <c r="S187" s="4">
        <f>P187+M186</f>
        <v>574</v>
      </c>
      <c r="T187" s="6"/>
    </row>
    <row r="188" spans="1:20" x14ac:dyDescent="0.25">
      <c r="A188" s="7"/>
      <c r="B188" s="16"/>
      <c r="C188" s="13"/>
      <c r="D188" s="13"/>
      <c r="E188" s="13"/>
      <c r="F188" s="14"/>
      <c r="G188" s="14"/>
      <c r="H188" s="11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6"/>
    </row>
    <row r="189" spans="1:20" x14ac:dyDescent="0.25">
      <c r="A189" s="7"/>
      <c r="B189" s="16"/>
      <c r="C189" s="13"/>
      <c r="D189" s="13"/>
      <c r="E189" s="13"/>
      <c r="F189" s="14"/>
      <c r="G189" s="14"/>
      <c r="H189" s="11"/>
      <c r="I189" s="15" t="s">
        <v>49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6"/>
    </row>
    <row r="190" spans="1:20" x14ac:dyDescent="0.25">
      <c r="A190" s="7"/>
      <c r="B190" s="16"/>
      <c r="C190" s="13"/>
      <c r="D190" s="13"/>
      <c r="E190" s="13"/>
      <c r="F190" s="14"/>
      <c r="G190" s="14"/>
      <c r="H190" s="11"/>
      <c r="I190" s="15" t="str">
        <f>I191&amp;","&amp;J191&amp;" "&amp;L191&amp;","&amp;M191&amp;" "&amp;O191&amp;","&amp;P191&amp;" "&amp;R191&amp;","&amp;S191</f>
        <v>348,514 368,534 348,554 328,534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6"/>
    </row>
    <row r="191" spans="1:20" x14ac:dyDescent="0.25">
      <c r="A191" s="7"/>
      <c r="B191" s="16"/>
      <c r="C191" s="13"/>
      <c r="D191" s="13"/>
      <c r="E191" s="13"/>
      <c r="F191" s="14"/>
      <c r="G191" s="14"/>
      <c r="H191" s="11"/>
      <c r="I191" s="5">
        <f>F187</f>
        <v>348</v>
      </c>
      <c r="J191" s="5">
        <f>G187-(D187/2)</f>
        <v>514</v>
      </c>
      <c r="K191" s="5"/>
      <c r="L191" s="5">
        <f>F187+(D187/2)</f>
        <v>368</v>
      </c>
      <c r="M191" s="5">
        <f>G187</f>
        <v>534</v>
      </c>
      <c r="N191" s="5"/>
      <c r="O191" s="5">
        <f>F187</f>
        <v>348</v>
      </c>
      <c r="P191" s="5">
        <f>G187+(D187/2)</f>
        <v>554</v>
      </c>
      <c r="Q191" s="5"/>
      <c r="R191" s="5">
        <f>F187-(D187/2)</f>
        <v>328</v>
      </c>
      <c r="S191" s="5">
        <f>G187</f>
        <v>534</v>
      </c>
      <c r="T191" s="6"/>
    </row>
    <row r="192" spans="1:20" x14ac:dyDescent="0.25">
      <c r="A192" s="7"/>
      <c r="B192" s="16"/>
      <c r="C192" s="13"/>
      <c r="D192" s="13"/>
      <c r="E192" s="13"/>
      <c r="F192" s="14"/>
      <c r="G192" s="14"/>
      <c r="H192" s="11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6"/>
    </row>
    <row r="193" spans="1:20" x14ac:dyDescent="0.25">
      <c r="A193" s="7"/>
      <c r="B193" s="9" t="s">
        <v>56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6"/>
    </row>
    <row r="194" spans="1:20" x14ac:dyDescent="0.25">
      <c r="A194" s="7"/>
      <c r="B194" s="10" t="str">
        <f>"&lt;g data-system="&amp;""""&amp;B186&amp;""""&amp;" class="&amp;""""&amp;"overlay trans_center"&amp;""""&amp;" onclick="&amp;""""&amp;"parent.system_click(this);"&amp;""""&amp;"&gt;"&amp;"&lt;polygon points="&amp;""""&amp;I190&amp;""""&amp;"/&gt;"&amp;"&lt;text x="&amp;""""&amp;I187&amp;""""&amp;" y="&amp;""""&amp;J187&amp;""""&amp;"&gt;"&amp;B186&amp;"&lt;/text&gt;"&amp;"&lt;/g&gt;"</f>
        <v>&lt;g data-system="OUTLAW-BASIS" class="overlay trans_center" onclick="parent.system_click(this);"&gt;&lt;polygon points="348,514 368,534 348,554 328,534"/&gt;&lt;text x="348" y="574"&gt;OUTLAW-BASIS&lt;/text&gt;&lt;/g&gt;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6"/>
    </row>
    <row r="195" spans="1:20" ht="5.85" customHeight="1" x14ac:dyDescent="0.2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ht="5.8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x14ac:dyDescent="0.25">
      <c r="A197" s="7"/>
      <c r="B197" s="16" t="s">
        <v>44</v>
      </c>
      <c r="C197" s="13"/>
      <c r="E197" s="13"/>
      <c r="F197" s="14" t="s">
        <v>50</v>
      </c>
      <c r="G197" s="14"/>
      <c r="H197" s="11"/>
      <c r="I197" s="12" t="s">
        <v>53</v>
      </c>
      <c r="J197" s="12"/>
      <c r="K197" s="11"/>
      <c r="L197" s="12" t="s">
        <v>54</v>
      </c>
      <c r="M197" s="12"/>
      <c r="N197" s="11"/>
      <c r="O197" s="12" t="s">
        <v>55</v>
      </c>
      <c r="P197" s="12"/>
      <c r="Q197" s="11"/>
      <c r="R197" s="12" t="s">
        <v>55</v>
      </c>
      <c r="S197" s="12"/>
      <c r="T197" s="6"/>
    </row>
    <row r="198" spans="1:20" x14ac:dyDescent="0.25">
      <c r="A198" s="7"/>
      <c r="B198" s="16"/>
      <c r="C198" s="13"/>
      <c r="D198" s="13">
        <v>40</v>
      </c>
      <c r="E198" s="13"/>
      <c r="F198" s="14">
        <v>420</v>
      </c>
      <c r="G198" s="14">
        <v>560</v>
      </c>
      <c r="H198" s="11"/>
      <c r="I198" s="4">
        <f>F198</f>
        <v>420</v>
      </c>
      <c r="J198" s="4">
        <f>G198+D198</f>
        <v>600</v>
      </c>
      <c r="K198" s="11"/>
      <c r="L198" s="4">
        <f>I198</f>
        <v>420</v>
      </c>
      <c r="M198" s="4">
        <f>J198+G197</f>
        <v>600</v>
      </c>
      <c r="N198" s="11"/>
      <c r="O198" s="4">
        <f>L198</f>
        <v>420</v>
      </c>
      <c r="P198" s="4">
        <f>M198+J197</f>
        <v>600</v>
      </c>
      <c r="Q198" s="11"/>
      <c r="R198" s="4">
        <f>O198</f>
        <v>420</v>
      </c>
      <c r="S198" s="4">
        <f>P198+M197</f>
        <v>600</v>
      </c>
      <c r="T198" s="6"/>
    </row>
    <row r="199" spans="1:20" x14ac:dyDescent="0.25">
      <c r="A199" s="7"/>
      <c r="B199" s="16"/>
      <c r="C199" s="13"/>
      <c r="D199" s="13"/>
      <c r="E199" s="13"/>
      <c r="F199" s="14"/>
      <c r="G199" s="14"/>
      <c r="H199" s="11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6"/>
    </row>
    <row r="200" spans="1:20" x14ac:dyDescent="0.25">
      <c r="A200" s="7"/>
      <c r="B200" s="16"/>
      <c r="C200" s="13"/>
      <c r="D200" s="13"/>
      <c r="E200" s="13"/>
      <c r="F200" s="14"/>
      <c r="G200" s="14"/>
      <c r="H200" s="11"/>
      <c r="I200" s="15" t="s">
        <v>49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6"/>
    </row>
    <row r="201" spans="1:20" x14ac:dyDescent="0.25">
      <c r="A201" s="7"/>
      <c r="B201" s="16"/>
      <c r="C201" s="13"/>
      <c r="D201" s="13"/>
      <c r="E201" s="13"/>
      <c r="F201" s="14"/>
      <c r="G201" s="14"/>
      <c r="H201" s="11"/>
      <c r="I201" s="15" t="str">
        <f>I202&amp;","&amp;J202&amp;" "&amp;L202&amp;","&amp;M202&amp;" "&amp;O202&amp;","&amp;P202&amp;" "&amp;R202&amp;","&amp;S202</f>
        <v>420,540 440,560 420,580 400,560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6"/>
    </row>
    <row r="202" spans="1:20" x14ac:dyDescent="0.25">
      <c r="A202" s="7"/>
      <c r="B202" s="16"/>
      <c r="C202" s="13"/>
      <c r="D202" s="13"/>
      <c r="E202" s="13"/>
      <c r="F202" s="14"/>
      <c r="G202" s="14"/>
      <c r="H202" s="11"/>
      <c r="I202" s="5">
        <f>F198</f>
        <v>420</v>
      </c>
      <c r="J202" s="5">
        <f>G198-(D198/2)</f>
        <v>540</v>
      </c>
      <c r="K202" s="5"/>
      <c r="L202" s="5">
        <f>F198+(D198/2)</f>
        <v>440</v>
      </c>
      <c r="M202" s="5">
        <f>G198</f>
        <v>560</v>
      </c>
      <c r="N202" s="5"/>
      <c r="O202" s="5">
        <f>F198</f>
        <v>420</v>
      </c>
      <c r="P202" s="5">
        <f>G198+(D198/2)</f>
        <v>580</v>
      </c>
      <c r="Q202" s="5"/>
      <c r="R202" s="5">
        <f>F198-(D198/2)</f>
        <v>400</v>
      </c>
      <c r="S202" s="5">
        <f>G198</f>
        <v>560</v>
      </c>
      <c r="T202" s="6"/>
    </row>
    <row r="203" spans="1:20" x14ac:dyDescent="0.25">
      <c r="A203" s="7"/>
      <c r="B203" s="16"/>
      <c r="C203" s="13"/>
      <c r="D203" s="13"/>
      <c r="E203" s="13"/>
      <c r="F203" s="14"/>
      <c r="G203" s="14"/>
      <c r="H203" s="11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6"/>
    </row>
    <row r="204" spans="1:20" x14ac:dyDescent="0.25">
      <c r="A204" s="7"/>
      <c r="B204" s="9" t="s">
        <v>56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6"/>
    </row>
    <row r="205" spans="1:20" x14ac:dyDescent="0.25">
      <c r="A205" s="7"/>
      <c r="B205" s="10" t="str">
        <f>"&lt;g data-system="&amp;""""&amp;B197&amp;""""&amp;" class="&amp;""""&amp;"overlay trans_center"&amp;""""&amp;" onclick="&amp;""""&amp;"parent.system_click(this);"&amp;""""&amp;"&gt;"&amp;"&lt;polygon points="&amp;""""&amp;I201&amp;""""&amp;"/&gt;"&amp;"&lt;text x="&amp;""""&amp;I198&amp;""""&amp;" y="&amp;""""&amp;J198&amp;""""&amp;"&gt;"&amp;B197&amp;"&lt;/text&gt;"&amp;"&lt;/g&gt;"</f>
        <v>&lt;g data-system="MEER DER SIRENEN" class="overlay trans_center" onclick="parent.system_click(this);"&gt;&lt;polygon points="420,540 440,560 420,580 400,560"/&gt;&lt;text x="420" y="600"&gt;MEER DER SIRENEN&lt;/text&gt;&lt;/g&gt;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6"/>
    </row>
    <row r="206" spans="1:20" ht="5.85" customHeight="1" x14ac:dyDescent="0.25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 ht="68.099999999999994" customHeight="1" x14ac:dyDescent="0.25"/>
    <row r="208" spans="1:20" ht="5.8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 x14ac:dyDescent="0.25">
      <c r="A209" s="7"/>
      <c r="B209" s="16" t="s">
        <v>45</v>
      </c>
      <c r="C209" s="13"/>
      <c r="E209" s="13"/>
      <c r="F209" s="14" t="s">
        <v>50</v>
      </c>
      <c r="G209" s="14"/>
      <c r="H209" s="11"/>
      <c r="I209" s="12" t="s">
        <v>53</v>
      </c>
      <c r="J209" s="12"/>
      <c r="K209" s="11"/>
      <c r="L209" s="12" t="s">
        <v>54</v>
      </c>
      <c r="M209" s="12"/>
      <c r="N209" s="11"/>
      <c r="O209" s="12" t="s">
        <v>55</v>
      </c>
      <c r="P209" s="12"/>
      <c r="Q209" s="11"/>
      <c r="R209" s="12" t="s">
        <v>55</v>
      </c>
      <c r="S209" s="12"/>
      <c r="T209" s="6"/>
    </row>
    <row r="210" spans="1:20" x14ac:dyDescent="0.25">
      <c r="A210" s="7"/>
      <c r="B210" s="16"/>
      <c r="C210" s="13"/>
      <c r="D210" s="13">
        <v>40</v>
      </c>
      <c r="E210" s="13"/>
      <c r="F210" s="14">
        <v>550</v>
      </c>
      <c r="G210" s="14">
        <v>564</v>
      </c>
      <c r="H210" s="11"/>
      <c r="I210" s="4">
        <f>F210</f>
        <v>550</v>
      </c>
      <c r="J210" s="4">
        <f>G210+D210</f>
        <v>604</v>
      </c>
      <c r="K210" s="11"/>
      <c r="L210" s="4">
        <f>I210</f>
        <v>550</v>
      </c>
      <c r="M210" s="4">
        <f>J210+G209</f>
        <v>604</v>
      </c>
      <c r="N210" s="11"/>
      <c r="O210" s="4">
        <f>L210</f>
        <v>550</v>
      </c>
      <c r="P210" s="4">
        <f>M210+J209</f>
        <v>604</v>
      </c>
      <c r="Q210" s="11"/>
      <c r="R210" s="4">
        <f>O210</f>
        <v>550</v>
      </c>
      <c r="S210" s="4">
        <f>P210+M209</f>
        <v>604</v>
      </c>
      <c r="T210" s="6"/>
    </row>
    <row r="211" spans="1:20" x14ac:dyDescent="0.25">
      <c r="A211" s="7"/>
      <c r="B211" s="16"/>
      <c r="C211" s="13"/>
      <c r="D211" s="13"/>
      <c r="E211" s="13"/>
      <c r="F211" s="14"/>
      <c r="G211" s="14"/>
      <c r="H211" s="11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6"/>
    </row>
    <row r="212" spans="1:20" x14ac:dyDescent="0.25">
      <c r="A212" s="7"/>
      <c r="B212" s="16"/>
      <c r="C212" s="13"/>
      <c r="D212" s="13"/>
      <c r="E212" s="13"/>
      <c r="F212" s="14"/>
      <c r="G212" s="14"/>
      <c r="H212" s="11"/>
      <c r="I212" s="15" t="s">
        <v>49</v>
      </c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6"/>
    </row>
    <row r="213" spans="1:20" x14ac:dyDescent="0.25">
      <c r="A213" s="7"/>
      <c r="B213" s="16"/>
      <c r="C213" s="13"/>
      <c r="D213" s="13"/>
      <c r="E213" s="13"/>
      <c r="F213" s="14"/>
      <c r="G213" s="14"/>
      <c r="H213" s="11"/>
      <c r="I213" s="15" t="str">
        <f>I214&amp;","&amp;J214&amp;" "&amp;L214&amp;","&amp;M214&amp;" "&amp;O214&amp;","&amp;P214&amp;" "&amp;R214&amp;","&amp;S214</f>
        <v>550,544 570,564 550,584 530,564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6"/>
    </row>
    <row r="214" spans="1:20" x14ac:dyDescent="0.25">
      <c r="A214" s="7"/>
      <c r="B214" s="16"/>
      <c r="C214" s="13"/>
      <c r="D214" s="13"/>
      <c r="E214" s="13"/>
      <c r="F214" s="14"/>
      <c r="G214" s="14"/>
      <c r="H214" s="11"/>
      <c r="I214" s="5">
        <f>F210</f>
        <v>550</v>
      </c>
      <c r="J214" s="5">
        <f>G210-(D210/2)</f>
        <v>544</v>
      </c>
      <c r="K214" s="5"/>
      <c r="L214" s="5">
        <f>F210+(D210/2)</f>
        <v>570</v>
      </c>
      <c r="M214" s="5">
        <f>G210</f>
        <v>564</v>
      </c>
      <c r="N214" s="5"/>
      <c r="O214" s="5">
        <f>F210</f>
        <v>550</v>
      </c>
      <c r="P214" s="5">
        <f>G210+(D210/2)</f>
        <v>584</v>
      </c>
      <c r="Q214" s="5"/>
      <c r="R214" s="5">
        <f>F210-(D210/2)</f>
        <v>530</v>
      </c>
      <c r="S214" s="5">
        <f>G210</f>
        <v>564</v>
      </c>
      <c r="T214" s="6"/>
    </row>
    <row r="215" spans="1:20" x14ac:dyDescent="0.25">
      <c r="A215" s="7"/>
      <c r="B215" s="16"/>
      <c r="C215" s="13"/>
      <c r="D215" s="13"/>
      <c r="E215" s="13"/>
      <c r="F215" s="14"/>
      <c r="G215" s="14"/>
      <c r="H215" s="11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6"/>
    </row>
    <row r="216" spans="1:20" x14ac:dyDescent="0.25">
      <c r="A216" s="7"/>
      <c r="B216" s="9" t="s">
        <v>56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6"/>
    </row>
    <row r="217" spans="1:20" x14ac:dyDescent="0.25">
      <c r="A217" s="7"/>
      <c r="B217" s="10" t="str">
        <f>"&lt;g data-system="&amp;""""&amp;B209&amp;""""&amp;" class="&amp;""""&amp;"overlay trans_center"&amp;""""&amp;" onclick="&amp;""""&amp;"parent.system_click(this);"&amp;""""&amp;"&gt;"&amp;"&lt;polygon points="&amp;""""&amp;I213&amp;""""&amp;"/&gt;"&amp;"&lt;text x="&amp;""""&amp;I210&amp;""""&amp;" y="&amp;""""&amp;J210&amp;""""&amp;"&gt;"&amp;B209&amp;"&lt;/text&gt;"&amp;"&lt;/g&gt;"</f>
        <v>&lt;g data-system="CETO ORBIT" class="overlay trans_center" onclick="parent.system_click(this);"&gt;&lt;polygon points="550,544 570,564 550,584 530,564"/&gt;&lt;text x="550" y="604"&gt;CETO ORBIT&lt;/text&gt;&lt;/g&gt;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6"/>
    </row>
    <row r="218" spans="1:20" ht="5.85" customHeight="1" x14ac:dyDescent="0.25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 ht="5.8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 x14ac:dyDescent="0.25">
      <c r="A220" s="7"/>
      <c r="B220" s="16" t="s">
        <v>61</v>
      </c>
      <c r="C220" s="13"/>
      <c r="E220" s="13"/>
      <c r="F220" s="14" t="s">
        <v>50</v>
      </c>
      <c r="G220" s="14"/>
      <c r="H220" s="11"/>
      <c r="I220" s="12" t="s">
        <v>53</v>
      </c>
      <c r="J220" s="12"/>
      <c r="K220" s="11"/>
      <c r="L220" s="12" t="s">
        <v>54</v>
      </c>
      <c r="M220" s="12"/>
      <c r="N220" s="11"/>
      <c r="O220" s="12" t="s">
        <v>55</v>
      </c>
      <c r="P220" s="12"/>
      <c r="Q220" s="11"/>
      <c r="R220" s="12" t="s">
        <v>55</v>
      </c>
      <c r="S220" s="12"/>
      <c r="T220" s="6"/>
    </row>
    <row r="221" spans="1:20" x14ac:dyDescent="0.25">
      <c r="A221" s="7"/>
      <c r="B221" s="16"/>
      <c r="C221" s="13"/>
      <c r="D221" s="13">
        <v>40</v>
      </c>
      <c r="E221" s="13"/>
      <c r="F221" s="14">
        <v>640</v>
      </c>
      <c r="G221" s="14">
        <v>530</v>
      </c>
      <c r="H221" s="11"/>
      <c r="I221" s="4">
        <f>F221</f>
        <v>640</v>
      </c>
      <c r="J221" s="4">
        <f>G221+D221</f>
        <v>570</v>
      </c>
      <c r="K221" s="11"/>
      <c r="L221" s="4">
        <f>I221</f>
        <v>640</v>
      </c>
      <c r="M221" s="4">
        <f>J221+G220</f>
        <v>570</v>
      </c>
      <c r="N221" s="11"/>
      <c r="O221" s="4">
        <f>L221</f>
        <v>640</v>
      </c>
      <c r="P221" s="4">
        <f>M221+J220</f>
        <v>570</v>
      </c>
      <c r="Q221" s="11"/>
      <c r="R221" s="4">
        <f>O221</f>
        <v>640</v>
      </c>
      <c r="S221" s="4">
        <f>P221+M220</f>
        <v>570</v>
      </c>
      <c r="T221" s="6"/>
    </row>
    <row r="222" spans="1:20" x14ac:dyDescent="0.25">
      <c r="A222" s="7"/>
      <c r="B222" s="16"/>
      <c r="C222" s="13"/>
      <c r="D222" s="13"/>
      <c r="E222" s="13"/>
      <c r="F222" s="14"/>
      <c r="G222" s="14"/>
      <c r="H222" s="11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6"/>
    </row>
    <row r="223" spans="1:20" x14ac:dyDescent="0.25">
      <c r="A223" s="7"/>
      <c r="B223" s="16"/>
      <c r="C223" s="13"/>
      <c r="D223" s="13"/>
      <c r="E223" s="13"/>
      <c r="F223" s="14"/>
      <c r="G223" s="14"/>
      <c r="H223" s="11"/>
      <c r="I223" s="15" t="s">
        <v>49</v>
      </c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6"/>
    </row>
    <row r="224" spans="1:20" x14ac:dyDescent="0.25">
      <c r="A224" s="7"/>
      <c r="B224" s="16"/>
      <c r="C224" s="13"/>
      <c r="D224" s="13"/>
      <c r="E224" s="13"/>
      <c r="F224" s="14"/>
      <c r="G224" s="14"/>
      <c r="H224" s="11"/>
      <c r="I224" s="15" t="str">
        <f>I225&amp;","&amp;J225&amp;" "&amp;L225&amp;","&amp;M225&amp;" "&amp;O225&amp;","&amp;P225&amp;" "&amp;R225&amp;","&amp;S225</f>
        <v>640,510 660,530 640,550 620,530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6"/>
    </row>
    <row r="225" spans="1:20" x14ac:dyDescent="0.25">
      <c r="A225" s="7"/>
      <c r="B225" s="16"/>
      <c r="C225" s="13"/>
      <c r="D225" s="13"/>
      <c r="E225" s="13"/>
      <c r="F225" s="14"/>
      <c r="G225" s="14"/>
      <c r="H225" s="11"/>
      <c r="I225" s="5">
        <f>F221</f>
        <v>640</v>
      </c>
      <c r="J225" s="5">
        <f>G221-(D221/2)</f>
        <v>510</v>
      </c>
      <c r="K225" s="5"/>
      <c r="L225" s="5">
        <f>F221+(D221/2)</f>
        <v>660</v>
      </c>
      <c r="M225" s="5">
        <f>G221</f>
        <v>530</v>
      </c>
      <c r="N225" s="5"/>
      <c r="O225" s="5">
        <f>F221</f>
        <v>640</v>
      </c>
      <c r="P225" s="5">
        <f>G221+(D221/2)</f>
        <v>550</v>
      </c>
      <c r="Q225" s="5"/>
      <c r="R225" s="5">
        <f>F221-(D221/2)</f>
        <v>620</v>
      </c>
      <c r="S225" s="5">
        <f>G221</f>
        <v>530</v>
      </c>
      <c r="T225" s="6"/>
    </row>
    <row r="226" spans="1:20" x14ac:dyDescent="0.25">
      <c r="A226" s="7"/>
      <c r="B226" s="16"/>
      <c r="C226" s="13"/>
      <c r="D226" s="13"/>
      <c r="E226" s="13"/>
      <c r="F226" s="14"/>
      <c r="G226" s="14"/>
      <c r="H226" s="11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6"/>
    </row>
    <row r="227" spans="1:20" x14ac:dyDescent="0.25">
      <c r="A227" s="7"/>
      <c r="B227" s="9" t="s">
        <v>56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6"/>
    </row>
    <row r="228" spans="1:20" x14ac:dyDescent="0.25">
      <c r="A228" s="7"/>
      <c r="B228" s="10" t="str">
        <f>"&lt;g data-system="&amp;""""&amp;B220&amp;""""&amp;" class="&amp;""""&amp;"overlay trans_center"&amp;""""&amp;" onclick="&amp;""""&amp;"parent.system_click(this);"&amp;""""&amp;"&gt;"&amp;"&lt;polygon points="&amp;""""&amp;I224&amp;""""&amp;"/&gt;"&amp;"&lt;text x="&amp;""""&amp;I221&amp;""""&amp;" y="&amp;""""&amp;J221&amp;""""&amp;"&gt;"&amp;B220&amp;"&lt;/text&gt;"&amp;"&lt;/g&gt;"</f>
        <v>&lt;g data-system="VERLASSENE FÖRDERSTATION" class="overlay trans_center" onclick="parent.system_click(this);"&gt;&lt;polygon points="640,510 660,530 640,550 620,530"/&gt;&lt;text x="640" y="570"&gt;VERLASSENE FÖRDERSTATION&lt;/text&gt;&lt;/g&gt;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6"/>
    </row>
    <row r="229" spans="1:20" ht="5.85" customHeight="1" x14ac:dyDescent="0.25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 ht="5.8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 x14ac:dyDescent="0.25">
      <c r="A231" s="7"/>
      <c r="B231" s="16" t="s">
        <v>63</v>
      </c>
      <c r="C231" s="13"/>
      <c r="E231" s="13"/>
      <c r="F231" s="14" t="s">
        <v>50</v>
      </c>
      <c r="G231" s="14"/>
      <c r="H231" s="11"/>
      <c r="I231" s="12" t="s">
        <v>53</v>
      </c>
      <c r="J231" s="12"/>
      <c r="K231" s="11"/>
      <c r="L231" s="12" t="s">
        <v>54</v>
      </c>
      <c r="M231" s="12"/>
      <c r="N231" s="11"/>
      <c r="O231" s="12" t="s">
        <v>55</v>
      </c>
      <c r="P231" s="12"/>
      <c r="Q231" s="11"/>
      <c r="R231" s="12" t="s">
        <v>55</v>
      </c>
      <c r="S231" s="12"/>
      <c r="T231" s="6"/>
    </row>
    <row r="232" spans="1:20" x14ac:dyDescent="0.25">
      <c r="A232" s="7"/>
      <c r="B232" s="16"/>
      <c r="C232" s="13"/>
      <c r="D232" s="13">
        <v>40</v>
      </c>
      <c r="E232" s="13"/>
      <c r="F232" s="14">
        <v>250</v>
      </c>
      <c r="G232" s="14">
        <v>750</v>
      </c>
      <c r="H232" s="11"/>
      <c r="I232" s="4">
        <f>F232</f>
        <v>250</v>
      </c>
      <c r="J232" s="4">
        <f>G232+D232</f>
        <v>790</v>
      </c>
      <c r="K232" s="11"/>
      <c r="L232" s="4">
        <f>I232</f>
        <v>250</v>
      </c>
      <c r="M232" s="4">
        <f>J232+G231</f>
        <v>790</v>
      </c>
      <c r="N232" s="11"/>
      <c r="O232" s="4">
        <f>L232</f>
        <v>250</v>
      </c>
      <c r="P232" s="4">
        <f>M232+J231</f>
        <v>790</v>
      </c>
      <c r="Q232" s="11"/>
      <c r="R232" s="4">
        <f>O232</f>
        <v>250</v>
      </c>
      <c r="S232" s="4">
        <f>P232+M231</f>
        <v>790</v>
      </c>
      <c r="T232" s="6"/>
    </row>
    <row r="233" spans="1:20" x14ac:dyDescent="0.25">
      <c r="A233" s="7"/>
      <c r="B233" s="16"/>
      <c r="C233" s="13"/>
      <c r="D233" s="13"/>
      <c r="E233" s="13"/>
      <c r="F233" s="14"/>
      <c r="G233" s="14"/>
      <c r="H233" s="11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6"/>
    </row>
    <row r="234" spans="1:20" x14ac:dyDescent="0.25">
      <c r="A234" s="7"/>
      <c r="B234" s="16"/>
      <c r="C234" s="13"/>
      <c r="D234" s="13"/>
      <c r="E234" s="13"/>
      <c r="F234" s="14"/>
      <c r="G234" s="14"/>
      <c r="H234" s="11"/>
      <c r="I234" s="15" t="s">
        <v>49</v>
      </c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6"/>
    </row>
    <row r="235" spans="1:20" x14ac:dyDescent="0.25">
      <c r="A235" s="7"/>
      <c r="B235" s="16"/>
      <c r="C235" s="13"/>
      <c r="D235" s="13"/>
      <c r="E235" s="13"/>
      <c r="F235" s="14"/>
      <c r="G235" s="14"/>
      <c r="H235" s="11"/>
      <c r="I235" s="15" t="str">
        <f>I236&amp;","&amp;J236&amp;" "&amp;L236&amp;","&amp;M236&amp;" "&amp;O236&amp;","&amp;P236&amp;" "&amp;R236&amp;","&amp;S236</f>
        <v>250,730 270,750 250,770 230,750</v>
      </c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6"/>
    </row>
    <row r="236" spans="1:20" x14ac:dyDescent="0.25">
      <c r="A236" s="7"/>
      <c r="B236" s="16"/>
      <c r="C236" s="13"/>
      <c r="D236" s="13"/>
      <c r="E236" s="13"/>
      <c r="F236" s="14"/>
      <c r="G236" s="14"/>
      <c r="H236" s="11"/>
      <c r="I236" s="5">
        <f>F232</f>
        <v>250</v>
      </c>
      <c r="J236" s="5">
        <f>G232-(D232/2)</f>
        <v>730</v>
      </c>
      <c r="K236" s="5"/>
      <c r="L236" s="5">
        <f>F232+(D232/2)</f>
        <v>270</v>
      </c>
      <c r="M236" s="5">
        <f>G232</f>
        <v>750</v>
      </c>
      <c r="N236" s="5"/>
      <c r="O236" s="5">
        <f>F232</f>
        <v>250</v>
      </c>
      <c r="P236" s="5">
        <f>G232+(D232/2)</f>
        <v>770</v>
      </c>
      <c r="Q236" s="5"/>
      <c r="R236" s="5">
        <f>F232-(D232/2)</f>
        <v>230</v>
      </c>
      <c r="S236" s="5">
        <f>G232</f>
        <v>750</v>
      </c>
      <c r="T236" s="6"/>
    </row>
    <row r="237" spans="1:20" x14ac:dyDescent="0.25">
      <c r="A237" s="7"/>
      <c r="B237" s="16"/>
      <c r="C237" s="13"/>
      <c r="D237" s="13"/>
      <c r="E237" s="13"/>
      <c r="F237" s="14"/>
      <c r="G237" s="14"/>
      <c r="H237" s="11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6"/>
    </row>
    <row r="238" spans="1:20" x14ac:dyDescent="0.25">
      <c r="A238" s="7"/>
      <c r="B238" s="9" t="s">
        <v>56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6"/>
    </row>
    <row r="239" spans="1:20" x14ac:dyDescent="0.25">
      <c r="A239" s="7"/>
      <c r="B239" s="10" t="str">
        <f>"&lt;g data-system="&amp;""""&amp;B231&amp;""""&amp;" class="&amp;""""&amp;"overlay trans_center"&amp;""""&amp;" onclick="&amp;""""&amp;"parent.system_click(this);"&amp;""""&amp;"&gt;"&amp;"&lt;polygon points="&amp;""""&amp;I235&amp;""""&amp;"/&gt;"&amp;"&lt;text x="&amp;""""&amp;I232&amp;""""&amp;" y="&amp;""""&amp;J232&amp;""""&amp;"&gt;"&amp;B231&amp;"&lt;/text&gt;"&amp;"&lt;/g&gt;"</f>
        <v>&lt;g data-system="ASTEROIDEN-CLUSTER" class="overlay trans_center" onclick="parent.system_click(this);"&gt;&lt;polygon points="250,730 270,750 250,770 230,750"/&gt;&lt;text x="250" y="790"&gt;ASTEROIDEN-CLUSTER&lt;/text&gt;&lt;/g&gt;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6"/>
    </row>
    <row r="240" spans="1:20" ht="5.85" customHeight="1" x14ac:dyDescent="0.25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1:20" ht="68.099999999999994" customHeight="1" x14ac:dyDescent="0.25"/>
    <row r="242" spans="1:20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1:20" x14ac:dyDescent="0.25">
      <c r="A243" s="7"/>
      <c r="B243" s="16" t="s">
        <v>64</v>
      </c>
      <c r="C243" s="13"/>
      <c r="E243" s="13"/>
      <c r="F243" s="14" t="s">
        <v>50</v>
      </c>
      <c r="G243" s="14"/>
      <c r="H243" s="11"/>
      <c r="I243" s="12" t="s">
        <v>53</v>
      </c>
      <c r="J243" s="12"/>
      <c r="K243" s="11"/>
      <c r="L243" s="12" t="s">
        <v>54</v>
      </c>
      <c r="M243" s="12"/>
      <c r="N243" s="11"/>
      <c r="O243" s="12" t="s">
        <v>55</v>
      </c>
      <c r="P243" s="12"/>
      <c r="Q243" s="11"/>
      <c r="R243" s="12" t="s">
        <v>55</v>
      </c>
      <c r="S243" s="12"/>
      <c r="T243" s="6"/>
    </row>
    <row r="244" spans="1:20" x14ac:dyDescent="0.25">
      <c r="A244" s="7"/>
      <c r="B244" s="16"/>
      <c r="C244" s="13"/>
      <c r="D244" s="13">
        <v>40</v>
      </c>
      <c r="E244" s="13"/>
      <c r="F244" s="14">
        <v>460</v>
      </c>
      <c r="G244" s="14">
        <v>840</v>
      </c>
      <c r="H244" s="11"/>
      <c r="I244" s="4">
        <f>F244</f>
        <v>460</v>
      </c>
      <c r="J244" s="4">
        <f>G244+D244</f>
        <v>880</v>
      </c>
      <c r="K244" s="11"/>
      <c r="L244" s="4">
        <f>I244</f>
        <v>460</v>
      </c>
      <c r="M244" s="4">
        <f>J244+G243</f>
        <v>880</v>
      </c>
      <c r="N244" s="11"/>
      <c r="O244" s="4">
        <f>L244</f>
        <v>460</v>
      </c>
      <c r="P244" s="4">
        <f>M244+J243</f>
        <v>880</v>
      </c>
      <c r="Q244" s="11"/>
      <c r="R244" s="4">
        <f>O244</f>
        <v>460</v>
      </c>
      <c r="S244" s="4">
        <f>P244+M243</f>
        <v>880</v>
      </c>
      <c r="T244" s="6"/>
    </row>
    <row r="245" spans="1:20" x14ac:dyDescent="0.25">
      <c r="A245" s="7"/>
      <c r="B245" s="16"/>
      <c r="C245" s="13"/>
      <c r="D245" s="13"/>
      <c r="E245" s="13"/>
      <c r="F245" s="14"/>
      <c r="G245" s="14"/>
      <c r="H245" s="11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6"/>
    </row>
    <row r="246" spans="1:20" x14ac:dyDescent="0.25">
      <c r="A246" s="7"/>
      <c r="B246" s="16"/>
      <c r="C246" s="13"/>
      <c r="D246" s="13"/>
      <c r="E246" s="13"/>
      <c r="F246" s="14"/>
      <c r="G246" s="14"/>
      <c r="H246" s="11"/>
      <c r="I246" s="15" t="s">
        <v>49</v>
      </c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6"/>
    </row>
    <row r="247" spans="1:20" x14ac:dyDescent="0.25">
      <c r="A247" s="7"/>
      <c r="B247" s="16"/>
      <c r="C247" s="13"/>
      <c r="D247" s="13"/>
      <c r="E247" s="13"/>
      <c r="F247" s="14"/>
      <c r="G247" s="14"/>
      <c r="H247" s="11"/>
      <c r="I247" s="15" t="str">
        <f>I248&amp;","&amp;J248&amp;" "&amp;L248&amp;","&amp;M248&amp;" "&amp;O248&amp;","&amp;P248&amp;" "&amp;R248&amp;","&amp;S248</f>
        <v>460,820 480,840 460,860 440,840</v>
      </c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6"/>
    </row>
    <row r="248" spans="1:20" x14ac:dyDescent="0.25">
      <c r="A248" s="7"/>
      <c r="B248" s="16"/>
      <c r="C248" s="13"/>
      <c r="D248" s="13"/>
      <c r="E248" s="13"/>
      <c r="F248" s="14"/>
      <c r="G248" s="14"/>
      <c r="H248" s="11"/>
      <c r="I248" s="5">
        <f>F244</f>
        <v>460</v>
      </c>
      <c r="J248" s="5">
        <f>G244-(D244/2)</f>
        <v>820</v>
      </c>
      <c r="K248" s="5"/>
      <c r="L248" s="5">
        <f>F244+(D244/2)</f>
        <v>480</v>
      </c>
      <c r="M248" s="5">
        <f>G244</f>
        <v>840</v>
      </c>
      <c r="N248" s="5"/>
      <c r="O248" s="5">
        <f>F244</f>
        <v>460</v>
      </c>
      <c r="P248" s="5">
        <f>G244+(D244/2)</f>
        <v>860</v>
      </c>
      <c r="Q248" s="5"/>
      <c r="R248" s="5">
        <f>F244-(D244/2)</f>
        <v>440</v>
      </c>
      <c r="S248" s="5">
        <f>G244</f>
        <v>840</v>
      </c>
      <c r="T248" s="6"/>
    </row>
    <row r="249" spans="1:20" x14ac:dyDescent="0.25">
      <c r="A249" s="7"/>
      <c r="B249" s="16"/>
      <c r="C249" s="13"/>
      <c r="D249" s="13"/>
      <c r="E249" s="13"/>
      <c r="F249" s="14"/>
      <c r="G249" s="14"/>
      <c r="H249" s="11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6"/>
    </row>
    <row r="250" spans="1:20" x14ac:dyDescent="0.25">
      <c r="A250" s="7"/>
      <c r="B250" s="9" t="s">
        <v>56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6"/>
    </row>
    <row r="251" spans="1:20" x14ac:dyDescent="0.25">
      <c r="A251" s="7"/>
      <c r="B251" s="10" t="str">
        <f>"&lt;g data-system="&amp;""""&amp;B243&amp;""""&amp;" class="&amp;""""&amp;"overlay trans_center"&amp;""""&amp;" onclick="&amp;""""&amp;"parent.system_click(this);"&amp;""""&amp;"&gt;"&amp;"&lt;polygon points="&amp;""""&amp;I247&amp;""""&amp;"/&gt;"&amp;"&lt;text x="&amp;""""&amp;I244&amp;""""&amp;" y="&amp;""""&amp;J244&amp;""""&amp;"&gt;"&amp;B243&amp;"&lt;/text&gt;"&amp;"&lt;/g&gt;"</f>
        <v>&lt;g data-system="VERLASSENER MILITÄRISCHER AUSSENPOSTEN" class="overlay trans_center" onclick="parent.system_click(this);"&gt;&lt;polygon points="460,820 480,840 460,860 440,840"/&gt;&lt;text x="460" y="880"&gt;VERLASSENER MILITÄRISCHER AUSSENPOSTEN&lt;/text&gt;&lt;/g&gt;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6"/>
    </row>
    <row r="252" spans="1:20" x14ac:dyDescent="0.25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1:20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spans="1:20" x14ac:dyDescent="0.25">
      <c r="A254" s="7"/>
      <c r="B254" s="16" t="s">
        <v>59</v>
      </c>
      <c r="C254" s="13"/>
      <c r="E254" s="13"/>
      <c r="F254" s="14" t="s">
        <v>50</v>
      </c>
      <c r="G254" s="14"/>
      <c r="H254" s="11"/>
      <c r="I254" s="12" t="s">
        <v>53</v>
      </c>
      <c r="J254" s="12"/>
      <c r="K254" s="11"/>
      <c r="L254" s="12" t="s">
        <v>54</v>
      </c>
      <c r="M254" s="12"/>
      <c r="N254" s="11"/>
      <c r="O254" s="12" t="s">
        <v>55</v>
      </c>
      <c r="P254" s="12"/>
      <c r="Q254" s="11"/>
      <c r="R254" s="12" t="s">
        <v>55</v>
      </c>
      <c r="S254" s="12"/>
      <c r="T254" s="6"/>
    </row>
    <row r="255" spans="1:20" x14ac:dyDescent="0.25">
      <c r="A255" s="7"/>
      <c r="B255" s="16"/>
      <c r="C255" s="13"/>
      <c r="D255" s="13">
        <v>40</v>
      </c>
      <c r="E255" s="13"/>
      <c r="F255" s="14">
        <v>600</v>
      </c>
      <c r="G255" s="14">
        <v>700</v>
      </c>
      <c r="H255" s="11"/>
      <c r="I255" s="4">
        <f>F255</f>
        <v>600</v>
      </c>
      <c r="J255" s="4">
        <f>G255+D255</f>
        <v>740</v>
      </c>
      <c r="K255" s="11"/>
      <c r="L255" s="4">
        <f>I255</f>
        <v>600</v>
      </c>
      <c r="M255" s="4">
        <f>J255+G254</f>
        <v>740</v>
      </c>
      <c r="N255" s="11"/>
      <c r="O255" s="4">
        <f>L255</f>
        <v>600</v>
      </c>
      <c r="P255" s="4">
        <f>M255+J254</f>
        <v>740</v>
      </c>
      <c r="Q255" s="11"/>
      <c r="R255" s="4">
        <f>O255</f>
        <v>600</v>
      </c>
      <c r="S255" s="4">
        <f>P255+M254</f>
        <v>740</v>
      </c>
      <c r="T255" s="6"/>
    </row>
    <row r="256" spans="1:20" x14ac:dyDescent="0.25">
      <c r="A256" s="7"/>
      <c r="B256" s="16"/>
      <c r="C256" s="13"/>
      <c r="D256" s="13"/>
      <c r="E256" s="13"/>
      <c r="F256" s="14"/>
      <c r="G256" s="14"/>
      <c r="H256" s="11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6"/>
    </row>
    <row r="257" spans="1:20" x14ac:dyDescent="0.25">
      <c r="A257" s="7"/>
      <c r="B257" s="16"/>
      <c r="C257" s="13"/>
      <c r="D257" s="13"/>
      <c r="E257" s="13"/>
      <c r="F257" s="14"/>
      <c r="G257" s="14"/>
      <c r="H257" s="11"/>
      <c r="I257" s="15" t="s">
        <v>49</v>
      </c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6"/>
    </row>
    <row r="258" spans="1:20" x14ac:dyDescent="0.25">
      <c r="A258" s="7"/>
      <c r="B258" s="16"/>
      <c r="C258" s="13"/>
      <c r="D258" s="13"/>
      <c r="E258" s="13"/>
      <c r="F258" s="14"/>
      <c r="G258" s="14"/>
      <c r="H258" s="11"/>
      <c r="I258" s="15" t="str">
        <f>I259&amp;","&amp;J259&amp;" "&amp;L259&amp;","&amp;M259&amp;" "&amp;O259&amp;","&amp;P259&amp;" "&amp;R259&amp;","&amp;S259</f>
        <v>600,680 620,700 600,720 580,700</v>
      </c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6"/>
    </row>
    <row r="259" spans="1:20" x14ac:dyDescent="0.25">
      <c r="A259" s="7"/>
      <c r="B259" s="16"/>
      <c r="C259" s="13"/>
      <c r="D259" s="13"/>
      <c r="E259" s="13"/>
      <c r="F259" s="14"/>
      <c r="G259" s="14"/>
      <c r="H259" s="11"/>
      <c r="I259" s="5">
        <f>F255</f>
        <v>600</v>
      </c>
      <c r="J259" s="5">
        <f>G255-(D255/2)</f>
        <v>680</v>
      </c>
      <c r="K259" s="5"/>
      <c r="L259" s="5">
        <f>F255+(D255/2)</f>
        <v>620</v>
      </c>
      <c r="M259" s="5">
        <f>G255</f>
        <v>700</v>
      </c>
      <c r="N259" s="5"/>
      <c r="O259" s="5">
        <f>F255</f>
        <v>600</v>
      </c>
      <c r="P259" s="5">
        <f>G255+(D255/2)</f>
        <v>720</v>
      </c>
      <c r="Q259" s="5"/>
      <c r="R259" s="5">
        <f>F255-(D255/2)</f>
        <v>580</v>
      </c>
      <c r="S259" s="5">
        <f>G255</f>
        <v>700</v>
      </c>
      <c r="T259" s="6"/>
    </row>
    <row r="260" spans="1:20" x14ac:dyDescent="0.25">
      <c r="A260" s="7"/>
      <c r="B260" s="16"/>
      <c r="C260" s="13"/>
      <c r="D260" s="13"/>
      <c r="E260" s="13"/>
      <c r="F260" s="14"/>
      <c r="G260" s="14"/>
      <c r="H260" s="11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6"/>
    </row>
    <row r="261" spans="1:20" x14ac:dyDescent="0.25">
      <c r="A261" s="7"/>
      <c r="B261" s="9" t="s">
        <v>56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6"/>
    </row>
    <row r="262" spans="1:20" x14ac:dyDescent="0.25">
      <c r="A262" s="7"/>
      <c r="B262" s="10" t="str">
        <f>"&lt;g data-system="&amp;""""&amp;B254&amp;""""&amp;" class="&amp;""""&amp;"overlay trans_center"&amp;""""&amp;" onclick="&amp;""""&amp;"parent.system_click(this);"&amp;""""&amp;"&gt;"&amp;"&lt;polygon points="&amp;""""&amp;I258&amp;""""&amp;"/&gt;"&amp;"&lt;text x="&amp;""""&amp;I255&amp;""""&amp;" y="&amp;""""&amp;J255&amp;""""&amp;"&gt;"&amp;B254&amp;"&lt;/text&gt;"&amp;"&lt;/g&gt;"</f>
        <v>&lt;g data-system="VERLASSENE STATION" class="overlay trans_center" onclick="parent.system_click(this);"&gt;&lt;polygon points="600,680 620,700 600,720 580,700"/&gt;&lt;text x="600" y="740"&gt;VERLASSENE STATION&lt;/text&gt;&lt;/g&gt;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6"/>
    </row>
    <row r="263" spans="1:20" x14ac:dyDescent="0.25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spans="1:20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1:20" x14ac:dyDescent="0.25">
      <c r="A265" s="7"/>
      <c r="B265" s="16" t="s">
        <v>65</v>
      </c>
      <c r="C265" s="13"/>
      <c r="E265" s="13"/>
      <c r="F265" s="14" t="s">
        <v>50</v>
      </c>
      <c r="G265" s="14"/>
      <c r="H265" s="11"/>
      <c r="I265" s="12" t="s">
        <v>53</v>
      </c>
      <c r="J265" s="12"/>
      <c r="K265" s="11"/>
      <c r="L265" s="12" t="s">
        <v>54</v>
      </c>
      <c r="M265" s="12"/>
      <c r="N265" s="11"/>
      <c r="O265" s="12" t="s">
        <v>55</v>
      </c>
      <c r="P265" s="12"/>
      <c r="Q265" s="11"/>
      <c r="R265" s="12" t="s">
        <v>55</v>
      </c>
      <c r="S265" s="12"/>
      <c r="T265" s="6"/>
    </row>
    <row r="266" spans="1:20" x14ac:dyDescent="0.25">
      <c r="A266" s="7"/>
      <c r="B266" s="16"/>
      <c r="C266" s="13"/>
      <c r="D266" s="13">
        <v>40</v>
      </c>
      <c r="E266" s="13"/>
      <c r="F266" s="14">
        <v>890</v>
      </c>
      <c r="G266" s="14">
        <v>630</v>
      </c>
      <c r="H266" s="11"/>
      <c r="I266" s="4">
        <f>F266</f>
        <v>890</v>
      </c>
      <c r="J266" s="4">
        <f>G266+D266</f>
        <v>670</v>
      </c>
      <c r="K266" s="11"/>
      <c r="L266" s="4">
        <f>I266</f>
        <v>890</v>
      </c>
      <c r="M266" s="4">
        <f>J266+G265</f>
        <v>670</v>
      </c>
      <c r="N266" s="11"/>
      <c r="O266" s="4">
        <f>L266</f>
        <v>890</v>
      </c>
      <c r="P266" s="4">
        <f>M266+J265</f>
        <v>670</v>
      </c>
      <c r="Q266" s="11"/>
      <c r="R266" s="4">
        <f>O266</f>
        <v>890</v>
      </c>
      <c r="S266" s="4">
        <f>P266+M265</f>
        <v>670</v>
      </c>
      <c r="T266" s="6"/>
    </row>
    <row r="267" spans="1:20" x14ac:dyDescent="0.25">
      <c r="A267" s="7"/>
      <c r="B267" s="16"/>
      <c r="C267" s="13"/>
      <c r="D267" s="13"/>
      <c r="E267" s="13"/>
      <c r="F267" s="14"/>
      <c r="G267" s="14"/>
      <c r="H267" s="11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6"/>
    </row>
    <row r="268" spans="1:20" x14ac:dyDescent="0.25">
      <c r="A268" s="7"/>
      <c r="B268" s="16"/>
      <c r="C268" s="13"/>
      <c r="D268" s="13"/>
      <c r="E268" s="13"/>
      <c r="F268" s="14"/>
      <c r="G268" s="14"/>
      <c r="H268" s="11"/>
      <c r="I268" s="15" t="s">
        <v>49</v>
      </c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6"/>
    </row>
    <row r="269" spans="1:20" x14ac:dyDescent="0.25">
      <c r="A269" s="7"/>
      <c r="B269" s="16"/>
      <c r="C269" s="13"/>
      <c r="D269" s="13"/>
      <c r="E269" s="13"/>
      <c r="F269" s="14"/>
      <c r="G269" s="14"/>
      <c r="H269" s="11"/>
      <c r="I269" s="15" t="str">
        <f>I270&amp;","&amp;J270&amp;" "&amp;L270&amp;","&amp;M270&amp;" "&amp;O270&amp;","&amp;P270&amp;" "&amp;R270&amp;","&amp;S270</f>
        <v>890,610 910,630 890,650 870,630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6"/>
    </row>
    <row r="270" spans="1:20" x14ac:dyDescent="0.25">
      <c r="A270" s="7"/>
      <c r="B270" s="16"/>
      <c r="C270" s="13"/>
      <c r="D270" s="13"/>
      <c r="E270" s="13"/>
      <c r="F270" s="14"/>
      <c r="G270" s="14"/>
      <c r="H270" s="11"/>
      <c r="I270" s="5">
        <f>F266</f>
        <v>890</v>
      </c>
      <c r="J270" s="5">
        <f>G266-(D266/2)</f>
        <v>610</v>
      </c>
      <c r="K270" s="5"/>
      <c r="L270" s="5">
        <f>F266+(D266/2)</f>
        <v>910</v>
      </c>
      <c r="M270" s="5">
        <f>G266</f>
        <v>630</v>
      </c>
      <c r="N270" s="5"/>
      <c r="O270" s="5">
        <f>F266</f>
        <v>890</v>
      </c>
      <c r="P270" s="5">
        <f>G266+(D266/2)</f>
        <v>650</v>
      </c>
      <c r="Q270" s="5"/>
      <c r="R270" s="5">
        <f>F266-(D266/2)</f>
        <v>870</v>
      </c>
      <c r="S270" s="5">
        <f>G266</f>
        <v>630</v>
      </c>
      <c r="T270" s="6"/>
    </row>
    <row r="271" spans="1:20" x14ac:dyDescent="0.25">
      <c r="A271" s="7"/>
      <c r="B271" s="16"/>
      <c r="C271" s="13"/>
      <c r="D271" s="13"/>
      <c r="E271" s="13"/>
      <c r="F271" s="14"/>
      <c r="G271" s="14"/>
      <c r="H271" s="11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6"/>
    </row>
    <row r="272" spans="1:20" x14ac:dyDescent="0.25">
      <c r="A272" s="7"/>
      <c r="B272" s="9" t="s">
        <v>56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6"/>
    </row>
    <row r="273" spans="1:20" x14ac:dyDescent="0.25">
      <c r="A273" s="7"/>
      <c r="B273" s="10" t="str">
        <f>"&lt;g data-system="&amp;""""&amp;B265&amp;""""&amp;" class="&amp;""""&amp;"overlay trans_center"&amp;""""&amp;" onclick="&amp;""""&amp;"parent.system_click(this);"&amp;""""&amp;"&gt;"&amp;"&lt;polygon points="&amp;""""&amp;I269&amp;""""&amp;"/&gt;"&amp;"&lt;text x="&amp;""""&amp;I266&amp;""""&amp;" y="&amp;""""&amp;J266&amp;""""&amp;"&gt;"&amp;B265&amp;"&lt;/text&gt;"&amp;"&lt;/g&gt;"</f>
        <v>&lt;g data-system="CHARYBDIS SCHLUND" class="overlay trans_center" onclick="parent.system_click(this);"&gt;&lt;polygon points="890,610 910,630 890,650 870,630"/&gt;&lt;text x="890" y="670"&gt;CHARYBDIS SCHLUND&lt;/text&gt;&lt;/g&gt;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6"/>
    </row>
    <row r="274" spans="1:20" x14ac:dyDescent="0.25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6" spans="1:20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spans="1:20" x14ac:dyDescent="0.25">
      <c r="A277" s="7"/>
      <c r="B277" s="16" t="s">
        <v>66</v>
      </c>
      <c r="C277" s="13"/>
      <c r="E277" s="13"/>
      <c r="F277" s="14" t="s">
        <v>50</v>
      </c>
      <c r="G277" s="14"/>
      <c r="H277" s="11"/>
      <c r="I277" s="12" t="s">
        <v>53</v>
      </c>
      <c r="J277" s="12"/>
      <c r="K277" s="11"/>
      <c r="L277" s="12" t="s">
        <v>54</v>
      </c>
      <c r="M277" s="12"/>
      <c r="N277" s="11"/>
      <c r="O277" s="12" t="s">
        <v>55</v>
      </c>
      <c r="P277" s="12"/>
      <c r="Q277" s="11"/>
      <c r="R277" s="12" t="s">
        <v>55</v>
      </c>
      <c r="S277" s="12"/>
      <c r="T277" s="6"/>
    </row>
    <row r="278" spans="1:20" x14ac:dyDescent="0.25">
      <c r="A278" s="7"/>
      <c r="B278" s="16"/>
      <c r="C278" s="13"/>
      <c r="D278" s="13">
        <v>40</v>
      </c>
      <c r="E278" s="13"/>
      <c r="F278" s="14">
        <v>810</v>
      </c>
      <c r="G278" s="14">
        <v>660</v>
      </c>
      <c r="H278" s="11"/>
      <c r="I278" s="4">
        <f>F278</f>
        <v>810</v>
      </c>
      <c r="J278" s="4">
        <f>G278+D278</f>
        <v>700</v>
      </c>
      <c r="K278" s="11"/>
      <c r="L278" s="4">
        <f>I278</f>
        <v>810</v>
      </c>
      <c r="M278" s="4">
        <f>J278+G277</f>
        <v>700</v>
      </c>
      <c r="N278" s="11"/>
      <c r="O278" s="4">
        <f>L278</f>
        <v>810</v>
      </c>
      <c r="P278" s="4">
        <f>M278+J277</f>
        <v>700</v>
      </c>
      <c r="Q278" s="11"/>
      <c r="R278" s="4">
        <f>O278</f>
        <v>810</v>
      </c>
      <c r="S278" s="4">
        <f>P278+M277</f>
        <v>700</v>
      </c>
      <c r="T278" s="6"/>
    </row>
    <row r="279" spans="1:20" x14ac:dyDescent="0.25">
      <c r="A279" s="7"/>
      <c r="B279" s="16"/>
      <c r="C279" s="13"/>
      <c r="D279" s="13"/>
      <c r="E279" s="13"/>
      <c r="F279" s="14"/>
      <c r="G279" s="14"/>
      <c r="H279" s="11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6"/>
    </row>
    <row r="280" spans="1:20" x14ac:dyDescent="0.25">
      <c r="A280" s="7"/>
      <c r="B280" s="16"/>
      <c r="C280" s="13"/>
      <c r="D280" s="13"/>
      <c r="E280" s="13"/>
      <c r="F280" s="14"/>
      <c r="G280" s="14"/>
      <c r="H280" s="11"/>
      <c r="I280" s="15" t="s">
        <v>49</v>
      </c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6"/>
    </row>
    <row r="281" spans="1:20" x14ac:dyDescent="0.25">
      <c r="A281" s="7"/>
      <c r="B281" s="16"/>
      <c r="C281" s="13"/>
      <c r="D281" s="13"/>
      <c r="E281" s="13"/>
      <c r="F281" s="14"/>
      <c r="G281" s="14"/>
      <c r="H281" s="11"/>
      <c r="I281" s="15" t="str">
        <f>I282&amp;","&amp;J282&amp;" "&amp;L282&amp;","&amp;M282&amp;" "&amp;O282&amp;","&amp;P282&amp;" "&amp;R282&amp;","&amp;S282</f>
        <v>810,640 830,660 810,680 790,660</v>
      </c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6"/>
    </row>
    <row r="282" spans="1:20" x14ac:dyDescent="0.25">
      <c r="A282" s="7"/>
      <c r="B282" s="16"/>
      <c r="C282" s="13"/>
      <c r="D282" s="13"/>
      <c r="E282" s="13"/>
      <c r="F282" s="14"/>
      <c r="G282" s="14"/>
      <c r="H282" s="11"/>
      <c r="I282" s="5">
        <f>F278</f>
        <v>810</v>
      </c>
      <c r="J282" s="5">
        <f>G278-(D278/2)</f>
        <v>640</v>
      </c>
      <c r="K282" s="5"/>
      <c r="L282" s="5">
        <f>F278+(D278/2)</f>
        <v>830</v>
      </c>
      <c r="M282" s="5">
        <f>G278</f>
        <v>660</v>
      </c>
      <c r="N282" s="5"/>
      <c r="O282" s="5">
        <f>F278</f>
        <v>810</v>
      </c>
      <c r="P282" s="5">
        <f>G278+(D278/2)</f>
        <v>680</v>
      </c>
      <c r="Q282" s="5"/>
      <c r="R282" s="5">
        <f>F278-(D278/2)</f>
        <v>790</v>
      </c>
      <c r="S282" s="5">
        <f>G278</f>
        <v>660</v>
      </c>
      <c r="T282" s="6"/>
    </row>
    <row r="283" spans="1:20" x14ac:dyDescent="0.25">
      <c r="A283" s="7"/>
      <c r="B283" s="16"/>
      <c r="C283" s="13"/>
      <c r="D283" s="13"/>
      <c r="E283" s="13"/>
      <c r="F283" s="14"/>
      <c r="G283" s="14"/>
      <c r="H283" s="11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6"/>
    </row>
    <row r="284" spans="1:20" x14ac:dyDescent="0.25">
      <c r="A284" s="7"/>
      <c r="B284" s="9" t="s">
        <v>56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6"/>
    </row>
    <row r="285" spans="1:20" x14ac:dyDescent="0.25">
      <c r="A285" s="7"/>
      <c r="B285" s="10" t="str">
        <f>"&lt;g data-system="&amp;""""&amp;B277&amp;""""&amp;" class="&amp;""""&amp;"overlay trans_center"&amp;""""&amp;" onclick="&amp;""""&amp;"parent.system_click(this);"&amp;""""&amp;"&gt;"&amp;"&lt;polygon points="&amp;""""&amp;I281&amp;""""&amp;"/&gt;"&amp;"&lt;text x="&amp;""""&amp;I278&amp;""""&amp;" y="&amp;""""&amp;J278&amp;""""&amp;"&gt;"&amp;B277&amp;"&lt;/text&gt;"&amp;"&lt;/g&gt;"</f>
        <v>&lt;g data-system="NEPHTYS EBENEN" class="overlay trans_center" onclick="parent.system_click(this);"&gt;&lt;polygon points="810,640 830,660 810,680 790,660"/&gt;&lt;text x="810" y="700"&gt;NEPHTYS EBENEN&lt;/text&gt;&lt;/g&gt;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6"/>
    </row>
    <row r="286" spans="1:20" x14ac:dyDescent="0.25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spans="1:20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spans="1:20" x14ac:dyDescent="0.25">
      <c r="A288" s="7"/>
      <c r="B288" s="16" t="s">
        <v>48</v>
      </c>
      <c r="C288" s="13"/>
      <c r="E288" s="13"/>
      <c r="F288" s="14" t="s">
        <v>50</v>
      </c>
      <c r="G288" s="14"/>
      <c r="H288" s="11"/>
      <c r="I288" s="12" t="s">
        <v>53</v>
      </c>
      <c r="J288" s="12"/>
      <c r="K288" s="11"/>
      <c r="L288" s="12" t="s">
        <v>54</v>
      </c>
      <c r="M288" s="12"/>
      <c r="N288" s="11"/>
      <c r="O288" s="12" t="s">
        <v>55</v>
      </c>
      <c r="P288" s="12"/>
      <c r="Q288" s="11"/>
      <c r="R288" s="12" t="s">
        <v>55</v>
      </c>
      <c r="S288" s="12"/>
      <c r="T288" s="6"/>
    </row>
    <row r="289" spans="1:20" x14ac:dyDescent="0.25">
      <c r="A289" s="7"/>
      <c r="B289" s="16"/>
      <c r="C289" s="13"/>
      <c r="D289" s="13">
        <v>40</v>
      </c>
      <c r="E289" s="13"/>
      <c r="F289" s="14">
        <v>1000</v>
      </c>
      <c r="G289" s="14">
        <v>580</v>
      </c>
      <c r="H289" s="11"/>
      <c r="I289" s="4">
        <f>F289</f>
        <v>1000</v>
      </c>
      <c r="J289" s="4">
        <f>G289+D289</f>
        <v>620</v>
      </c>
      <c r="K289" s="11"/>
      <c r="L289" s="4">
        <f>I289</f>
        <v>1000</v>
      </c>
      <c r="M289" s="4">
        <f>J289+G288</f>
        <v>620</v>
      </c>
      <c r="N289" s="11"/>
      <c r="O289" s="4">
        <f>L289</f>
        <v>1000</v>
      </c>
      <c r="P289" s="4">
        <f>M289+J288</f>
        <v>620</v>
      </c>
      <c r="Q289" s="11"/>
      <c r="R289" s="4">
        <f>O289</f>
        <v>1000</v>
      </c>
      <c r="S289" s="4">
        <f>P289+M288</f>
        <v>620</v>
      </c>
      <c r="T289" s="6"/>
    </row>
    <row r="290" spans="1:20" x14ac:dyDescent="0.25">
      <c r="A290" s="7"/>
      <c r="B290" s="16"/>
      <c r="C290" s="13"/>
      <c r="D290" s="13"/>
      <c r="E290" s="13"/>
      <c r="F290" s="14"/>
      <c r="G290" s="14"/>
      <c r="H290" s="11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6"/>
    </row>
    <row r="291" spans="1:20" x14ac:dyDescent="0.25">
      <c r="A291" s="7"/>
      <c r="B291" s="16"/>
      <c r="C291" s="13"/>
      <c r="D291" s="13"/>
      <c r="E291" s="13"/>
      <c r="F291" s="14"/>
      <c r="G291" s="14"/>
      <c r="H291" s="11"/>
      <c r="I291" s="15" t="s">
        <v>49</v>
      </c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6"/>
    </row>
    <row r="292" spans="1:20" x14ac:dyDescent="0.25">
      <c r="A292" s="7"/>
      <c r="B292" s="16"/>
      <c r="C292" s="13"/>
      <c r="D292" s="13"/>
      <c r="E292" s="13"/>
      <c r="F292" s="14"/>
      <c r="G292" s="14"/>
      <c r="H292" s="11"/>
      <c r="I292" s="15" t="str">
        <f>I293&amp;","&amp;J293&amp;" "&amp;L293&amp;","&amp;M293&amp;" "&amp;O293&amp;","&amp;P293&amp;" "&amp;R293&amp;","&amp;S293</f>
        <v>1000,560 1020,580 1000,600 980,580</v>
      </c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6"/>
    </row>
    <row r="293" spans="1:20" x14ac:dyDescent="0.25">
      <c r="A293" s="7"/>
      <c r="B293" s="16"/>
      <c r="C293" s="13"/>
      <c r="D293" s="13"/>
      <c r="E293" s="13"/>
      <c r="F293" s="14"/>
      <c r="G293" s="14"/>
      <c r="H293" s="11"/>
      <c r="I293" s="5">
        <f>F289</f>
        <v>1000</v>
      </c>
      <c r="J293" s="5">
        <f>G289-(D289/2)</f>
        <v>560</v>
      </c>
      <c r="K293" s="5"/>
      <c r="L293" s="5">
        <f>F289+(D289/2)</f>
        <v>1020</v>
      </c>
      <c r="M293" s="5">
        <f>G289</f>
        <v>580</v>
      </c>
      <c r="N293" s="5"/>
      <c r="O293" s="5">
        <f>F289</f>
        <v>1000</v>
      </c>
      <c r="P293" s="5">
        <f>G289+(D289/2)</f>
        <v>600</v>
      </c>
      <c r="Q293" s="5"/>
      <c r="R293" s="5">
        <f>F289-(D289/2)</f>
        <v>980</v>
      </c>
      <c r="S293" s="5">
        <f>G289</f>
        <v>580</v>
      </c>
      <c r="T293" s="6"/>
    </row>
    <row r="294" spans="1:20" x14ac:dyDescent="0.25">
      <c r="A294" s="7"/>
      <c r="B294" s="16"/>
      <c r="C294" s="13"/>
      <c r="D294" s="13"/>
      <c r="E294" s="13"/>
      <c r="F294" s="14"/>
      <c r="G294" s="14"/>
      <c r="H294" s="11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6"/>
    </row>
    <row r="295" spans="1:20" x14ac:dyDescent="0.25">
      <c r="A295" s="7"/>
      <c r="B295" s="9" t="s">
        <v>56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6"/>
    </row>
    <row r="296" spans="1:20" x14ac:dyDescent="0.25">
      <c r="A296" s="7"/>
      <c r="B296" s="10" t="str">
        <f>"&lt;g data-system="&amp;""""&amp;B288&amp;""""&amp;" class="&amp;""""&amp;"overlay trans_center"&amp;""""&amp;" onclick="&amp;""""&amp;"parent.system_click(this);"&amp;""""&amp;"&gt;"&amp;"&lt;polygon points="&amp;""""&amp;I292&amp;""""&amp;"/&gt;"&amp;"&lt;text x="&amp;""""&amp;I289&amp;""""&amp;" y="&amp;""""&amp;J289&amp;""""&amp;"&gt;"&amp;B288&amp;"&lt;/text&gt;"&amp;"&lt;/g&gt;"</f>
        <v>&lt;g data-system="VERLASSENE ANLAGE" class="overlay trans_center" onclick="parent.system_click(this);"&gt;&lt;polygon points="1000,560 1020,580 1000,600 980,580"/&gt;&lt;text x="1000" y="620"&gt;VERLASSENE ANLAGE&lt;/text&gt;&lt;/g&gt;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6"/>
    </row>
    <row r="297" spans="1:20" x14ac:dyDescent="0.25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spans="1:20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1:20" x14ac:dyDescent="0.25">
      <c r="A299" s="7"/>
      <c r="B299" s="16"/>
      <c r="C299" s="13"/>
      <c r="E299" s="13"/>
      <c r="F299" s="14" t="s">
        <v>50</v>
      </c>
      <c r="G299" s="14"/>
      <c r="H299" s="11"/>
      <c r="I299" s="12" t="s">
        <v>53</v>
      </c>
      <c r="J299" s="12"/>
      <c r="K299" s="11"/>
      <c r="L299" s="12" t="s">
        <v>54</v>
      </c>
      <c r="M299" s="12"/>
      <c r="N299" s="11"/>
      <c r="O299" s="12" t="s">
        <v>55</v>
      </c>
      <c r="P299" s="12"/>
      <c r="Q299" s="11"/>
      <c r="R299" s="12" t="s">
        <v>55</v>
      </c>
      <c r="S299" s="12"/>
      <c r="T299" s="6"/>
    </row>
    <row r="300" spans="1:20" x14ac:dyDescent="0.25">
      <c r="A300" s="7"/>
      <c r="B300" s="16"/>
      <c r="C300" s="13"/>
      <c r="D300" s="13">
        <v>40</v>
      </c>
      <c r="E300" s="13"/>
      <c r="F300" s="14">
        <v>588</v>
      </c>
      <c r="G300" s="14">
        <v>436</v>
      </c>
      <c r="H300" s="11"/>
      <c r="I300" s="4">
        <f>F300</f>
        <v>588</v>
      </c>
      <c r="J300" s="4">
        <f>G300+D300</f>
        <v>476</v>
      </c>
      <c r="K300" s="11"/>
      <c r="L300" s="4">
        <f>I300</f>
        <v>588</v>
      </c>
      <c r="M300" s="4">
        <f>J300+G299</f>
        <v>476</v>
      </c>
      <c r="N300" s="11"/>
      <c r="O300" s="4">
        <f>L300</f>
        <v>588</v>
      </c>
      <c r="P300" s="4">
        <f>M300+J299</f>
        <v>476</v>
      </c>
      <c r="Q300" s="11"/>
      <c r="R300" s="4">
        <f>O300</f>
        <v>588</v>
      </c>
      <c r="S300" s="4">
        <f>P300+M299</f>
        <v>476</v>
      </c>
      <c r="T300" s="6"/>
    </row>
    <row r="301" spans="1:20" x14ac:dyDescent="0.25">
      <c r="A301" s="7"/>
      <c r="B301" s="16"/>
      <c r="C301" s="13"/>
      <c r="D301" s="13"/>
      <c r="E301" s="13"/>
      <c r="F301" s="14"/>
      <c r="G301" s="14"/>
      <c r="H301" s="11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6"/>
    </row>
    <row r="302" spans="1:20" x14ac:dyDescent="0.25">
      <c r="A302" s="7"/>
      <c r="B302" s="16"/>
      <c r="C302" s="13"/>
      <c r="D302" s="13"/>
      <c r="E302" s="13"/>
      <c r="F302" s="14"/>
      <c r="G302" s="14"/>
      <c r="H302" s="11"/>
      <c r="I302" s="15" t="s">
        <v>49</v>
      </c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6"/>
    </row>
    <row r="303" spans="1:20" x14ac:dyDescent="0.25">
      <c r="A303" s="7"/>
      <c r="B303" s="16"/>
      <c r="C303" s="13"/>
      <c r="D303" s="13"/>
      <c r="E303" s="13"/>
      <c r="F303" s="14"/>
      <c r="G303" s="14"/>
      <c r="H303" s="11"/>
      <c r="I303" s="15" t="str">
        <f>I304&amp;","&amp;J304&amp;" "&amp;L304&amp;","&amp;M304&amp;" "&amp;O304&amp;","&amp;P304&amp;" "&amp;R304&amp;","&amp;S304</f>
        <v>588,416 608,436 588,456 568,436</v>
      </c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6"/>
    </row>
    <row r="304" spans="1:20" x14ac:dyDescent="0.25">
      <c r="A304" s="7"/>
      <c r="B304" s="16"/>
      <c r="C304" s="13"/>
      <c r="D304" s="13"/>
      <c r="E304" s="13"/>
      <c r="F304" s="14"/>
      <c r="G304" s="14"/>
      <c r="H304" s="11"/>
      <c r="I304" s="5">
        <f>F300</f>
        <v>588</v>
      </c>
      <c r="J304" s="5">
        <f>G300-(D300/2)</f>
        <v>416</v>
      </c>
      <c r="K304" s="5"/>
      <c r="L304" s="5">
        <f>F300+(D300/2)</f>
        <v>608</v>
      </c>
      <c r="M304" s="5">
        <f>G300</f>
        <v>436</v>
      </c>
      <c r="N304" s="5"/>
      <c r="O304" s="5">
        <f>F300</f>
        <v>588</v>
      </c>
      <c r="P304" s="5">
        <f>G300+(D300/2)</f>
        <v>456</v>
      </c>
      <c r="Q304" s="5"/>
      <c r="R304" s="5">
        <f>F300-(D300/2)</f>
        <v>568</v>
      </c>
      <c r="S304" s="5">
        <f>G300</f>
        <v>436</v>
      </c>
      <c r="T304" s="6"/>
    </row>
    <row r="305" spans="1:20" x14ac:dyDescent="0.25">
      <c r="A305" s="7"/>
      <c r="B305" s="16"/>
      <c r="C305" s="13"/>
      <c r="D305" s="13"/>
      <c r="E305" s="13"/>
      <c r="F305" s="14"/>
      <c r="G305" s="14"/>
      <c r="H305" s="11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6"/>
    </row>
    <row r="306" spans="1:20" x14ac:dyDescent="0.25">
      <c r="A306" s="7"/>
      <c r="B306" s="9" t="s">
        <v>56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6"/>
    </row>
    <row r="307" spans="1:20" x14ac:dyDescent="0.25">
      <c r="A307" s="7"/>
      <c r="B307" s="10" t="str">
        <f>"&lt;g data-system="&amp;""""&amp;B299&amp;""""&amp;" class="&amp;""""&amp;"overlay trans_center"&amp;""""&amp;" onclick="&amp;""""&amp;"parent.system_click(this);"&amp;""""&amp;"&gt;"&amp;"&lt;polygon points="&amp;""""&amp;I303&amp;""""&amp;"/&gt;"&amp;"&lt;text x="&amp;""""&amp;I300&amp;""""&amp;" y="&amp;""""&amp;J300&amp;""""&amp;"&gt;"&amp;B299&amp;"&lt;/text&gt;"&amp;"&lt;/g&gt;"</f>
        <v>&lt;g data-system="" class="overlay trans_center" onclick="parent.system_click(this);"&gt;&lt;polygon points="588,416 608,436 588,456 568,436"/&gt;&lt;text x="588" y="476"&gt;&lt;/text&gt;&lt;/g&gt;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6"/>
    </row>
    <row r="308" spans="1:20" x14ac:dyDescent="0.25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10" spans="1:20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spans="1:20" x14ac:dyDescent="0.25">
      <c r="A311" s="7"/>
      <c r="B311" s="16"/>
      <c r="C311" s="13"/>
      <c r="E311" s="13"/>
      <c r="F311" s="14" t="s">
        <v>50</v>
      </c>
      <c r="G311" s="14"/>
      <c r="H311" s="11"/>
      <c r="I311" s="12" t="s">
        <v>53</v>
      </c>
      <c r="J311" s="12"/>
      <c r="K311" s="11"/>
      <c r="L311" s="12" t="s">
        <v>54</v>
      </c>
      <c r="M311" s="12"/>
      <c r="N311" s="11"/>
      <c r="O311" s="12" t="s">
        <v>55</v>
      </c>
      <c r="P311" s="12"/>
      <c r="Q311" s="11"/>
      <c r="R311" s="12" t="s">
        <v>55</v>
      </c>
      <c r="S311" s="12"/>
      <c r="T311" s="6"/>
    </row>
    <row r="312" spans="1:20" x14ac:dyDescent="0.25">
      <c r="A312" s="7"/>
      <c r="B312" s="16"/>
      <c r="C312" s="13"/>
      <c r="D312" s="13">
        <v>40</v>
      </c>
      <c r="E312" s="13"/>
      <c r="F312" s="14">
        <v>100</v>
      </c>
      <c r="G312" s="14">
        <v>470</v>
      </c>
      <c r="H312" s="11"/>
      <c r="I312" s="4">
        <f>F312</f>
        <v>100</v>
      </c>
      <c r="J312" s="4">
        <f>G312+D312</f>
        <v>510</v>
      </c>
      <c r="K312" s="11"/>
      <c r="L312" s="4">
        <f>I312</f>
        <v>100</v>
      </c>
      <c r="M312" s="4">
        <f>J312+G311</f>
        <v>510</v>
      </c>
      <c r="N312" s="11"/>
      <c r="O312" s="4">
        <f>L312</f>
        <v>100</v>
      </c>
      <c r="P312" s="4">
        <f>M312+J311</f>
        <v>510</v>
      </c>
      <c r="Q312" s="11"/>
      <c r="R312" s="4">
        <f>O312</f>
        <v>100</v>
      </c>
      <c r="S312" s="4">
        <f>P312+M311</f>
        <v>510</v>
      </c>
      <c r="T312" s="6"/>
    </row>
    <row r="313" spans="1:20" x14ac:dyDescent="0.25">
      <c r="A313" s="7"/>
      <c r="B313" s="16"/>
      <c r="C313" s="13"/>
      <c r="D313" s="13"/>
      <c r="E313" s="13"/>
      <c r="F313" s="14"/>
      <c r="G313" s="14"/>
      <c r="H313" s="11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6"/>
    </row>
    <row r="314" spans="1:20" x14ac:dyDescent="0.25">
      <c r="A314" s="7"/>
      <c r="B314" s="16"/>
      <c r="C314" s="13"/>
      <c r="D314" s="13"/>
      <c r="E314" s="13"/>
      <c r="F314" s="14"/>
      <c r="G314" s="14"/>
      <c r="H314" s="11"/>
      <c r="I314" s="15" t="s">
        <v>49</v>
      </c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6"/>
    </row>
    <row r="315" spans="1:20" x14ac:dyDescent="0.25">
      <c r="A315" s="7"/>
      <c r="B315" s="16"/>
      <c r="C315" s="13"/>
      <c r="D315" s="13"/>
      <c r="E315" s="13"/>
      <c r="F315" s="14"/>
      <c r="G315" s="14"/>
      <c r="H315" s="11"/>
      <c r="I315" s="15" t="str">
        <f>I316&amp;","&amp;J316&amp;" "&amp;L316&amp;","&amp;M316&amp;" "&amp;O316&amp;","&amp;P316&amp;" "&amp;R316&amp;","&amp;S316</f>
        <v>100,450 120,470 100,490 80,470</v>
      </c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6"/>
    </row>
    <row r="316" spans="1:20" x14ac:dyDescent="0.25">
      <c r="A316" s="7"/>
      <c r="B316" s="16"/>
      <c r="C316" s="13"/>
      <c r="D316" s="13"/>
      <c r="E316" s="13"/>
      <c r="F316" s="14"/>
      <c r="G316" s="14"/>
      <c r="H316" s="11"/>
      <c r="I316" s="5">
        <f>F312</f>
        <v>100</v>
      </c>
      <c r="J316" s="5">
        <f>G312-(D312/2)</f>
        <v>450</v>
      </c>
      <c r="K316" s="5"/>
      <c r="L316" s="5">
        <f>F312+(D312/2)</f>
        <v>120</v>
      </c>
      <c r="M316" s="5">
        <f>G312</f>
        <v>470</v>
      </c>
      <c r="N316" s="5"/>
      <c r="O316" s="5">
        <f>F312</f>
        <v>100</v>
      </c>
      <c r="P316" s="5">
        <f>G312+(D312/2)</f>
        <v>490</v>
      </c>
      <c r="Q316" s="5"/>
      <c r="R316" s="5">
        <f>F312-(D312/2)</f>
        <v>80</v>
      </c>
      <c r="S316" s="5">
        <f>G312</f>
        <v>470</v>
      </c>
      <c r="T316" s="6"/>
    </row>
    <row r="317" spans="1:20" x14ac:dyDescent="0.25">
      <c r="A317" s="7"/>
      <c r="B317" s="16"/>
      <c r="C317" s="13"/>
      <c r="D317" s="13"/>
      <c r="E317" s="13"/>
      <c r="F317" s="14"/>
      <c r="G317" s="14"/>
      <c r="H317" s="11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6"/>
    </row>
    <row r="318" spans="1:20" x14ac:dyDescent="0.25">
      <c r="A318" s="7"/>
      <c r="B318" s="9" t="s">
        <v>56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6"/>
    </row>
    <row r="319" spans="1:20" x14ac:dyDescent="0.25">
      <c r="A319" s="7"/>
      <c r="B319" s="10" t="str">
        <f>"&lt;g data-system="&amp;""""&amp;B311&amp;""""&amp;" class="&amp;""""&amp;"overlay trans_center"&amp;""""&amp;" onclick="&amp;""""&amp;"parent.system_click(this);"&amp;""""&amp;"&gt;"&amp;"&lt;polygon points="&amp;""""&amp;I315&amp;""""&amp;"/&gt;"&amp;"&lt;text x="&amp;""""&amp;I312&amp;""""&amp;" y="&amp;""""&amp;J312&amp;""""&amp;"&gt;"&amp;B311&amp;"&lt;/text&gt;"&amp;"&lt;/g&gt;"</f>
        <v>&lt;g data-system="" class="overlay trans_center" onclick="parent.system_click(this);"&gt;&lt;polygon points="100,450 120,470 100,490 80,470"/&gt;&lt;text x="100" y="510"&gt;&lt;/text&gt;&lt;/g&gt;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6"/>
    </row>
    <row r="320" spans="1:20" x14ac:dyDescent="0.25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spans="1:20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spans="1:20" x14ac:dyDescent="0.25">
      <c r="A322" s="7"/>
      <c r="B322" s="16"/>
      <c r="C322" s="13"/>
      <c r="E322" s="13"/>
      <c r="F322" s="14" t="s">
        <v>50</v>
      </c>
      <c r="G322" s="14"/>
      <c r="H322" s="11"/>
      <c r="I322" s="12" t="s">
        <v>53</v>
      </c>
      <c r="J322" s="12"/>
      <c r="K322" s="11"/>
      <c r="L322" s="12" t="s">
        <v>54</v>
      </c>
      <c r="M322" s="12"/>
      <c r="N322" s="11"/>
      <c r="O322" s="12" t="s">
        <v>55</v>
      </c>
      <c r="P322" s="12"/>
      <c r="Q322" s="11"/>
      <c r="R322" s="12" t="s">
        <v>55</v>
      </c>
      <c r="S322" s="12"/>
      <c r="T322" s="6"/>
    </row>
    <row r="323" spans="1:20" x14ac:dyDescent="0.25">
      <c r="A323" s="7"/>
      <c r="B323" s="16"/>
      <c r="C323" s="13"/>
      <c r="D323" s="13">
        <v>40</v>
      </c>
      <c r="E323" s="13"/>
      <c r="F323" s="14">
        <v>390</v>
      </c>
      <c r="G323" s="14">
        <v>470</v>
      </c>
      <c r="H323" s="11"/>
      <c r="I323" s="4">
        <f>F323</f>
        <v>390</v>
      </c>
      <c r="J323" s="4">
        <f>G323+D323</f>
        <v>510</v>
      </c>
      <c r="K323" s="11"/>
      <c r="L323" s="4">
        <f>I323</f>
        <v>390</v>
      </c>
      <c r="M323" s="4">
        <f>J323+G322</f>
        <v>510</v>
      </c>
      <c r="N323" s="11"/>
      <c r="O323" s="4">
        <f>L323</f>
        <v>390</v>
      </c>
      <c r="P323" s="4">
        <f>M323+J322</f>
        <v>510</v>
      </c>
      <c r="Q323" s="11"/>
      <c r="R323" s="4">
        <f>O323</f>
        <v>390</v>
      </c>
      <c r="S323" s="4">
        <f>P323+M322</f>
        <v>510</v>
      </c>
      <c r="T323" s="6"/>
    </row>
    <row r="324" spans="1:20" x14ac:dyDescent="0.25">
      <c r="A324" s="7"/>
      <c r="B324" s="16"/>
      <c r="C324" s="13"/>
      <c r="D324" s="13"/>
      <c r="E324" s="13"/>
      <c r="F324" s="14"/>
      <c r="G324" s="14"/>
      <c r="H324" s="11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6"/>
    </row>
    <row r="325" spans="1:20" x14ac:dyDescent="0.25">
      <c r="A325" s="7"/>
      <c r="B325" s="16"/>
      <c r="C325" s="13"/>
      <c r="D325" s="13"/>
      <c r="E325" s="13"/>
      <c r="F325" s="14"/>
      <c r="G325" s="14"/>
      <c r="H325" s="11"/>
      <c r="I325" s="15" t="s">
        <v>49</v>
      </c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6"/>
    </row>
    <row r="326" spans="1:20" x14ac:dyDescent="0.25">
      <c r="A326" s="7"/>
      <c r="B326" s="16"/>
      <c r="C326" s="13"/>
      <c r="D326" s="13"/>
      <c r="E326" s="13"/>
      <c r="F326" s="14"/>
      <c r="G326" s="14"/>
      <c r="H326" s="11"/>
      <c r="I326" s="15" t="str">
        <f>I327&amp;","&amp;J327&amp;" "&amp;L327&amp;","&amp;M327&amp;" "&amp;O327&amp;","&amp;P327&amp;" "&amp;R327&amp;","&amp;S327</f>
        <v>390,450 410,470 390,490 370,470</v>
      </c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6"/>
    </row>
    <row r="327" spans="1:20" x14ac:dyDescent="0.25">
      <c r="A327" s="7"/>
      <c r="B327" s="16"/>
      <c r="C327" s="13"/>
      <c r="D327" s="13"/>
      <c r="E327" s="13"/>
      <c r="F327" s="14"/>
      <c r="G327" s="14"/>
      <c r="H327" s="11"/>
      <c r="I327" s="5">
        <f>F323</f>
        <v>390</v>
      </c>
      <c r="J327" s="5">
        <f>G323-(D323/2)</f>
        <v>450</v>
      </c>
      <c r="K327" s="5"/>
      <c r="L327" s="5">
        <f>F323+(D323/2)</f>
        <v>410</v>
      </c>
      <c r="M327" s="5">
        <f>G323</f>
        <v>470</v>
      </c>
      <c r="N327" s="5"/>
      <c r="O327" s="5">
        <f>F323</f>
        <v>390</v>
      </c>
      <c r="P327" s="5">
        <f>G323+(D323/2)</f>
        <v>490</v>
      </c>
      <c r="Q327" s="5"/>
      <c r="R327" s="5">
        <f>F323-(D323/2)</f>
        <v>370</v>
      </c>
      <c r="S327" s="5">
        <f>G323</f>
        <v>470</v>
      </c>
      <c r="T327" s="6"/>
    </row>
    <row r="328" spans="1:20" x14ac:dyDescent="0.25">
      <c r="A328" s="7"/>
      <c r="B328" s="16"/>
      <c r="C328" s="13"/>
      <c r="D328" s="13"/>
      <c r="E328" s="13"/>
      <c r="F328" s="14"/>
      <c r="G328" s="14"/>
      <c r="H328" s="11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6"/>
    </row>
    <row r="329" spans="1:20" x14ac:dyDescent="0.25">
      <c r="A329" s="7"/>
      <c r="B329" s="9" t="s">
        <v>56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6"/>
    </row>
    <row r="330" spans="1:20" x14ac:dyDescent="0.25">
      <c r="A330" s="7"/>
      <c r="B330" s="10" t="str">
        <f>"&lt;g data-system="&amp;""""&amp;B322&amp;""""&amp;" class="&amp;""""&amp;"overlay trans_center"&amp;""""&amp;" onclick="&amp;""""&amp;"parent.system_click(this);"&amp;""""&amp;"&gt;"&amp;"&lt;polygon points="&amp;""""&amp;I326&amp;""""&amp;"/&gt;"&amp;"&lt;text x="&amp;""""&amp;I323&amp;""""&amp;" y="&amp;""""&amp;J323&amp;""""&amp;"&gt;"&amp;B322&amp;"&lt;/text&gt;"&amp;"&lt;/g&gt;"</f>
        <v>&lt;g data-system="" class="overlay trans_center" onclick="parent.system_click(this);"&gt;&lt;polygon points="390,450 410,470 390,490 370,470"/&gt;&lt;text x="390" y="510"&gt;&lt;/text&gt;&lt;/g&gt;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6"/>
    </row>
    <row r="331" spans="1:20" x14ac:dyDescent="0.25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spans="1:20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spans="1:20" x14ac:dyDescent="0.25">
      <c r="A333" s="7"/>
      <c r="B333" s="16"/>
      <c r="C333" s="13"/>
      <c r="E333" s="13"/>
      <c r="F333" s="14" t="s">
        <v>50</v>
      </c>
      <c r="G333" s="14"/>
      <c r="H333" s="11"/>
      <c r="I333" s="12" t="s">
        <v>53</v>
      </c>
      <c r="J333" s="12"/>
      <c r="K333" s="11"/>
      <c r="L333" s="12" t="s">
        <v>54</v>
      </c>
      <c r="M333" s="12"/>
      <c r="N333" s="11"/>
      <c r="O333" s="12" t="s">
        <v>55</v>
      </c>
      <c r="P333" s="12"/>
      <c r="Q333" s="11"/>
      <c r="R333" s="12" t="s">
        <v>55</v>
      </c>
      <c r="S333" s="12"/>
      <c r="T333" s="6"/>
    </row>
    <row r="334" spans="1:20" x14ac:dyDescent="0.25">
      <c r="A334" s="7"/>
      <c r="B334" s="16"/>
      <c r="C334" s="13"/>
      <c r="D334" s="13">
        <v>40</v>
      </c>
      <c r="E334" s="13"/>
      <c r="F334" s="14">
        <v>588</v>
      </c>
      <c r="G334" s="14">
        <v>436</v>
      </c>
      <c r="H334" s="11"/>
      <c r="I334" s="4">
        <f>F334</f>
        <v>588</v>
      </c>
      <c r="J334" s="4">
        <f>G334+D334</f>
        <v>476</v>
      </c>
      <c r="K334" s="11"/>
      <c r="L334" s="4">
        <f>I334</f>
        <v>588</v>
      </c>
      <c r="M334" s="4">
        <f>J334+G333</f>
        <v>476</v>
      </c>
      <c r="N334" s="11"/>
      <c r="O334" s="4">
        <f>L334</f>
        <v>588</v>
      </c>
      <c r="P334" s="4">
        <f>M334+J333</f>
        <v>476</v>
      </c>
      <c r="Q334" s="11"/>
      <c r="R334" s="4">
        <f>O334</f>
        <v>588</v>
      </c>
      <c r="S334" s="4">
        <f>P334+M333</f>
        <v>476</v>
      </c>
      <c r="T334" s="6"/>
    </row>
    <row r="335" spans="1:20" x14ac:dyDescent="0.25">
      <c r="A335" s="7"/>
      <c r="B335" s="16"/>
      <c r="C335" s="13"/>
      <c r="D335" s="13"/>
      <c r="E335" s="13"/>
      <c r="F335" s="14"/>
      <c r="G335" s="14"/>
      <c r="H335" s="11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6"/>
    </row>
    <row r="336" spans="1:20" x14ac:dyDescent="0.25">
      <c r="A336" s="7"/>
      <c r="B336" s="16"/>
      <c r="C336" s="13"/>
      <c r="D336" s="13"/>
      <c r="E336" s="13"/>
      <c r="F336" s="14"/>
      <c r="G336" s="14"/>
      <c r="H336" s="11"/>
      <c r="I336" s="15" t="s">
        <v>49</v>
      </c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6"/>
    </row>
    <row r="337" spans="1:20" x14ac:dyDescent="0.25">
      <c r="A337" s="7"/>
      <c r="B337" s="16"/>
      <c r="C337" s="13"/>
      <c r="D337" s="13"/>
      <c r="E337" s="13"/>
      <c r="F337" s="14"/>
      <c r="G337" s="14"/>
      <c r="H337" s="11"/>
      <c r="I337" s="15" t="str">
        <f>I338&amp;","&amp;J338&amp;" "&amp;L338&amp;","&amp;M338&amp;" "&amp;O338&amp;","&amp;P338&amp;" "&amp;R338&amp;","&amp;S338</f>
        <v>588,416 608,436 588,456 568,436</v>
      </c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6"/>
    </row>
    <row r="338" spans="1:20" x14ac:dyDescent="0.25">
      <c r="A338" s="7"/>
      <c r="B338" s="16"/>
      <c r="C338" s="13"/>
      <c r="D338" s="13"/>
      <c r="E338" s="13"/>
      <c r="F338" s="14"/>
      <c r="G338" s="14"/>
      <c r="H338" s="11"/>
      <c r="I338" s="5">
        <f>F334</f>
        <v>588</v>
      </c>
      <c r="J338" s="5">
        <f>G334-(D334/2)</f>
        <v>416</v>
      </c>
      <c r="K338" s="5"/>
      <c r="L338" s="5">
        <f>F334+(D334/2)</f>
        <v>608</v>
      </c>
      <c r="M338" s="5">
        <f>G334</f>
        <v>436</v>
      </c>
      <c r="N338" s="5"/>
      <c r="O338" s="5">
        <f>F334</f>
        <v>588</v>
      </c>
      <c r="P338" s="5">
        <f>G334+(D334/2)</f>
        <v>456</v>
      </c>
      <c r="Q338" s="5"/>
      <c r="R338" s="5">
        <f>F334-(D334/2)</f>
        <v>568</v>
      </c>
      <c r="S338" s="5">
        <f>G334</f>
        <v>436</v>
      </c>
      <c r="T338" s="6"/>
    </row>
    <row r="339" spans="1:20" x14ac:dyDescent="0.25">
      <c r="A339" s="7"/>
      <c r="B339" s="16"/>
      <c r="C339" s="13"/>
      <c r="D339" s="13"/>
      <c r="E339" s="13"/>
      <c r="F339" s="14"/>
      <c r="G339" s="14"/>
      <c r="H339" s="11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6"/>
    </row>
    <row r="340" spans="1:20" x14ac:dyDescent="0.25">
      <c r="A340" s="7"/>
      <c r="B340" s="9" t="s">
        <v>56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6"/>
    </row>
    <row r="341" spans="1:20" x14ac:dyDescent="0.25">
      <c r="A341" s="7"/>
      <c r="B341" s="10" t="str">
        <f>"&lt;g data-system="&amp;""""&amp;B333&amp;""""&amp;" class="&amp;""""&amp;"overlay trans_center"&amp;""""&amp;" onclick="&amp;""""&amp;"parent.system_click(this);"&amp;""""&amp;"&gt;"&amp;"&lt;polygon points="&amp;""""&amp;I337&amp;""""&amp;"/&gt;"&amp;"&lt;text x="&amp;""""&amp;I334&amp;""""&amp;" y="&amp;""""&amp;J334&amp;""""&amp;"&gt;"&amp;B333&amp;"&lt;/text&gt;"&amp;"&lt;/g&gt;"</f>
        <v>&lt;g data-system="" class="overlay trans_center" onclick="parent.system_click(this);"&gt;&lt;polygon points="588,416 608,436 588,456 568,436"/&gt;&lt;text x="588" y="476"&gt;&lt;/text&gt;&lt;/g&gt;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6"/>
    </row>
    <row r="342" spans="1:20" x14ac:dyDescent="0.25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4" spans="1:20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spans="1:20" x14ac:dyDescent="0.25">
      <c r="A345" s="7"/>
      <c r="B345" s="16"/>
      <c r="C345" s="13"/>
      <c r="E345" s="13"/>
      <c r="F345" s="14" t="s">
        <v>50</v>
      </c>
      <c r="G345" s="14"/>
      <c r="H345" s="11"/>
      <c r="I345" s="12" t="s">
        <v>53</v>
      </c>
      <c r="J345" s="12"/>
      <c r="K345" s="11"/>
      <c r="L345" s="12" t="s">
        <v>54</v>
      </c>
      <c r="M345" s="12"/>
      <c r="N345" s="11"/>
      <c r="O345" s="12" t="s">
        <v>55</v>
      </c>
      <c r="P345" s="12"/>
      <c r="Q345" s="11"/>
      <c r="R345" s="12" t="s">
        <v>55</v>
      </c>
      <c r="S345" s="12"/>
      <c r="T345" s="6"/>
    </row>
    <row r="346" spans="1:20" x14ac:dyDescent="0.25">
      <c r="A346" s="7"/>
      <c r="B346" s="16"/>
      <c r="C346" s="13"/>
      <c r="D346" s="13">
        <v>40</v>
      </c>
      <c r="E346" s="13"/>
      <c r="F346" s="14">
        <v>100</v>
      </c>
      <c r="G346" s="14">
        <v>470</v>
      </c>
      <c r="H346" s="11"/>
      <c r="I346" s="4">
        <f>F346</f>
        <v>100</v>
      </c>
      <c r="J346" s="4">
        <f>G346+D346</f>
        <v>510</v>
      </c>
      <c r="K346" s="11"/>
      <c r="L346" s="4">
        <f>I346</f>
        <v>100</v>
      </c>
      <c r="M346" s="4">
        <f>J346+G345</f>
        <v>510</v>
      </c>
      <c r="N346" s="11"/>
      <c r="O346" s="4">
        <f>L346</f>
        <v>100</v>
      </c>
      <c r="P346" s="4">
        <f>M346+J345</f>
        <v>510</v>
      </c>
      <c r="Q346" s="11"/>
      <c r="R346" s="4">
        <f>O346</f>
        <v>100</v>
      </c>
      <c r="S346" s="4">
        <f>P346+M345</f>
        <v>510</v>
      </c>
      <c r="T346" s="6"/>
    </row>
    <row r="347" spans="1:20" x14ac:dyDescent="0.25">
      <c r="A347" s="7"/>
      <c r="B347" s="16"/>
      <c r="C347" s="13"/>
      <c r="D347" s="13"/>
      <c r="E347" s="13"/>
      <c r="F347" s="14"/>
      <c r="G347" s="14"/>
      <c r="H347" s="11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6"/>
    </row>
    <row r="348" spans="1:20" x14ac:dyDescent="0.25">
      <c r="A348" s="7"/>
      <c r="B348" s="16"/>
      <c r="C348" s="13"/>
      <c r="D348" s="13"/>
      <c r="E348" s="13"/>
      <c r="F348" s="14"/>
      <c r="G348" s="14"/>
      <c r="H348" s="11"/>
      <c r="I348" s="15" t="s">
        <v>49</v>
      </c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6"/>
    </row>
    <row r="349" spans="1:20" x14ac:dyDescent="0.25">
      <c r="A349" s="7"/>
      <c r="B349" s="16"/>
      <c r="C349" s="13"/>
      <c r="D349" s="13"/>
      <c r="E349" s="13"/>
      <c r="F349" s="14"/>
      <c r="G349" s="14"/>
      <c r="H349" s="11"/>
      <c r="I349" s="15" t="str">
        <f>I350&amp;","&amp;J350&amp;" "&amp;L350&amp;","&amp;M350&amp;" "&amp;O350&amp;","&amp;P350&amp;" "&amp;R350&amp;","&amp;S350</f>
        <v>100,450 120,470 100,490 80,470</v>
      </c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6"/>
    </row>
    <row r="350" spans="1:20" x14ac:dyDescent="0.25">
      <c r="A350" s="7"/>
      <c r="B350" s="16"/>
      <c r="C350" s="13"/>
      <c r="D350" s="13"/>
      <c r="E350" s="13"/>
      <c r="F350" s="14"/>
      <c r="G350" s="14"/>
      <c r="H350" s="11"/>
      <c r="I350" s="5">
        <f>F346</f>
        <v>100</v>
      </c>
      <c r="J350" s="5">
        <f>G346-(D346/2)</f>
        <v>450</v>
      </c>
      <c r="K350" s="5"/>
      <c r="L350" s="5">
        <f>F346+(D346/2)</f>
        <v>120</v>
      </c>
      <c r="M350" s="5">
        <f>G346</f>
        <v>470</v>
      </c>
      <c r="N350" s="5"/>
      <c r="O350" s="5">
        <f>F346</f>
        <v>100</v>
      </c>
      <c r="P350" s="5">
        <f>G346+(D346/2)</f>
        <v>490</v>
      </c>
      <c r="Q350" s="5"/>
      <c r="R350" s="5">
        <f>F346-(D346/2)</f>
        <v>80</v>
      </c>
      <c r="S350" s="5">
        <f>G346</f>
        <v>470</v>
      </c>
      <c r="T350" s="6"/>
    </row>
    <row r="351" spans="1:20" x14ac:dyDescent="0.25">
      <c r="A351" s="7"/>
      <c r="B351" s="16"/>
      <c r="C351" s="13"/>
      <c r="D351" s="13"/>
      <c r="E351" s="13"/>
      <c r="F351" s="14"/>
      <c r="G351" s="14"/>
      <c r="H351" s="11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6"/>
    </row>
    <row r="352" spans="1:20" x14ac:dyDescent="0.25">
      <c r="A352" s="7"/>
      <c r="B352" s="9" t="s">
        <v>56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6"/>
    </row>
    <row r="353" spans="1:20" x14ac:dyDescent="0.25">
      <c r="A353" s="7"/>
      <c r="B353" s="10" t="str">
        <f>"&lt;g data-system="&amp;""""&amp;B345&amp;""""&amp;" class="&amp;""""&amp;"overlay trans_center"&amp;""""&amp;" onclick="&amp;""""&amp;"parent.system_click(this);"&amp;""""&amp;"&gt;"&amp;"&lt;polygon points="&amp;""""&amp;I349&amp;""""&amp;"/&gt;"&amp;"&lt;text x="&amp;""""&amp;I346&amp;""""&amp;" y="&amp;""""&amp;J346&amp;""""&amp;"&gt;"&amp;B345&amp;"&lt;/text&gt;"&amp;"&lt;/g&gt;"</f>
        <v>&lt;g data-system="" class="overlay trans_center" onclick="parent.system_click(this);"&gt;&lt;polygon points="100,450 120,470 100,490 80,470"/&gt;&lt;text x="100" y="510"&gt;&lt;/text&gt;&lt;/g&gt;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6"/>
    </row>
    <row r="354" spans="1:20" x14ac:dyDescent="0.25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spans="1:20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spans="1:20" x14ac:dyDescent="0.25">
      <c r="A356" s="7"/>
      <c r="B356" s="16"/>
      <c r="C356" s="13"/>
      <c r="E356" s="13"/>
      <c r="F356" s="14" t="s">
        <v>50</v>
      </c>
      <c r="G356" s="14"/>
      <c r="H356" s="11"/>
      <c r="I356" s="12" t="s">
        <v>53</v>
      </c>
      <c r="J356" s="12"/>
      <c r="K356" s="11"/>
      <c r="L356" s="12" t="s">
        <v>54</v>
      </c>
      <c r="M356" s="12"/>
      <c r="N356" s="11"/>
      <c r="O356" s="12" t="s">
        <v>55</v>
      </c>
      <c r="P356" s="12"/>
      <c r="Q356" s="11"/>
      <c r="R356" s="12" t="s">
        <v>55</v>
      </c>
      <c r="S356" s="12"/>
      <c r="T356" s="6"/>
    </row>
    <row r="357" spans="1:20" x14ac:dyDescent="0.25">
      <c r="A357" s="7"/>
      <c r="B357" s="16"/>
      <c r="C357" s="13"/>
      <c r="D357" s="13">
        <v>40</v>
      </c>
      <c r="E357" s="13"/>
      <c r="F357" s="14">
        <v>390</v>
      </c>
      <c r="G357" s="14">
        <v>470</v>
      </c>
      <c r="H357" s="11"/>
      <c r="I357" s="4">
        <f>F357</f>
        <v>390</v>
      </c>
      <c r="J357" s="4">
        <f>G357+D357</f>
        <v>510</v>
      </c>
      <c r="K357" s="11"/>
      <c r="L357" s="4">
        <f>I357</f>
        <v>390</v>
      </c>
      <c r="M357" s="4">
        <f>J357+G356</f>
        <v>510</v>
      </c>
      <c r="N357" s="11"/>
      <c r="O357" s="4">
        <f>L357</f>
        <v>390</v>
      </c>
      <c r="P357" s="4">
        <f>M357+J356</f>
        <v>510</v>
      </c>
      <c r="Q357" s="11"/>
      <c r="R357" s="4">
        <f>O357</f>
        <v>390</v>
      </c>
      <c r="S357" s="4">
        <f>P357+M356</f>
        <v>510</v>
      </c>
      <c r="T357" s="6"/>
    </row>
    <row r="358" spans="1:20" x14ac:dyDescent="0.25">
      <c r="A358" s="7"/>
      <c r="B358" s="16"/>
      <c r="C358" s="13"/>
      <c r="D358" s="13"/>
      <c r="E358" s="13"/>
      <c r="F358" s="14"/>
      <c r="G358" s="14"/>
      <c r="H358" s="11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6"/>
    </row>
    <row r="359" spans="1:20" x14ac:dyDescent="0.25">
      <c r="A359" s="7"/>
      <c r="B359" s="16"/>
      <c r="C359" s="13"/>
      <c r="D359" s="13"/>
      <c r="E359" s="13"/>
      <c r="F359" s="14"/>
      <c r="G359" s="14"/>
      <c r="H359" s="11"/>
      <c r="I359" s="15" t="s">
        <v>49</v>
      </c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6"/>
    </row>
    <row r="360" spans="1:20" x14ac:dyDescent="0.25">
      <c r="A360" s="7"/>
      <c r="B360" s="16"/>
      <c r="C360" s="13"/>
      <c r="D360" s="13"/>
      <c r="E360" s="13"/>
      <c r="F360" s="14"/>
      <c r="G360" s="14"/>
      <c r="H360" s="11"/>
      <c r="I360" s="15" t="str">
        <f>I361&amp;","&amp;J361&amp;" "&amp;L361&amp;","&amp;M361&amp;" "&amp;O361&amp;","&amp;P361&amp;" "&amp;R361&amp;","&amp;S361</f>
        <v>390,450 410,470 390,490 370,470</v>
      </c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6"/>
    </row>
    <row r="361" spans="1:20" x14ac:dyDescent="0.25">
      <c r="A361" s="7"/>
      <c r="B361" s="16"/>
      <c r="C361" s="13"/>
      <c r="D361" s="13"/>
      <c r="E361" s="13"/>
      <c r="F361" s="14"/>
      <c r="G361" s="14"/>
      <c r="H361" s="11"/>
      <c r="I361" s="5">
        <f>F357</f>
        <v>390</v>
      </c>
      <c r="J361" s="5">
        <f>G357-(D357/2)</f>
        <v>450</v>
      </c>
      <c r="K361" s="5"/>
      <c r="L361" s="5">
        <f>F357+(D357/2)</f>
        <v>410</v>
      </c>
      <c r="M361" s="5">
        <f>G357</f>
        <v>470</v>
      </c>
      <c r="N361" s="5"/>
      <c r="O361" s="5">
        <f>F357</f>
        <v>390</v>
      </c>
      <c r="P361" s="5">
        <f>G357+(D357/2)</f>
        <v>490</v>
      </c>
      <c r="Q361" s="5"/>
      <c r="R361" s="5">
        <f>F357-(D357/2)</f>
        <v>370</v>
      </c>
      <c r="S361" s="5">
        <f>G357</f>
        <v>470</v>
      </c>
      <c r="T361" s="6"/>
    </row>
    <row r="362" spans="1:20" x14ac:dyDescent="0.25">
      <c r="A362" s="7"/>
      <c r="B362" s="16"/>
      <c r="C362" s="13"/>
      <c r="D362" s="13"/>
      <c r="E362" s="13"/>
      <c r="F362" s="14"/>
      <c r="G362" s="14"/>
      <c r="H362" s="11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6"/>
    </row>
    <row r="363" spans="1:20" x14ac:dyDescent="0.25">
      <c r="A363" s="7"/>
      <c r="B363" s="9" t="s">
        <v>56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6"/>
    </row>
    <row r="364" spans="1:20" x14ac:dyDescent="0.25">
      <c r="A364" s="7"/>
      <c r="B364" s="10" t="str">
        <f>"&lt;g data-system="&amp;""""&amp;B356&amp;""""&amp;" class="&amp;""""&amp;"overlay trans_center"&amp;""""&amp;" onclick="&amp;""""&amp;"parent.system_click(this);"&amp;""""&amp;"&gt;"&amp;"&lt;polygon points="&amp;""""&amp;I360&amp;""""&amp;"/&gt;"&amp;"&lt;text x="&amp;""""&amp;I357&amp;""""&amp;" y="&amp;""""&amp;J357&amp;""""&amp;"&gt;"&amp;B356&amp;"&lt;/text&gt;"&amp;"&lt;/g&gt;"</f>
        <v>&lt;g data-system="" class="overlay trans_center" onclick="parent.system_click(this);"&gt;&lt;polygon points="390,450 410,470 390,490 370,470"/&gt;&lt;text x="390" y="510"&gt;&lt;/text&gt;&lt;/g&gt;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6"/>
    </row>
    <row r="365" spans="1:20" x14ac:dyDescent="0.2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spans="1:20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spans="1:20" x14ac:dyDescent="0.25">
      <c r="A367" s="7"/>
      <c r="B367" s="16"/>
      <c r="C367" s="13"/>
      <c r="E367" s="13"/>
      <c r="F367" s="14" t="s">
        <v>50</v>
      </c>
      <c r="G367" s="14"/>
      <c r="H367" s="11"/>
      <c r="I367" s="12" t="s">
        <v>53</v>
      </c>
      <c r="J367" s="12"/>
      <c r="K367" s="11"/>
      <c r="L367" s="12" t="s">
        <v>54</v>
      </c>
      <c r="M367" s="12"/>
      <c r="N367" s="11"/>
      <c r="O367" s="12" t="s">
        <v>55</v>
      </c>
      <c r="P367" s="12"/>
      <c r="Q367" s="11"/>
      <c r="R367" s="12" t="s">
        <v>55</v>
      </c>
      <c r="S367" s="12"/>
      <c r="T367" s="6"/>
    </row>
    <row r="368" spans="1:20" x14ac:dyDescent="0.25">
      <c r="A368" s="7"/>
      <c r="B368" s="16"/>
      <c r="C368" s="13"/>
      <c r="D368" s="13">
        <v>40</v>
      </c>
      <c r="E368" s="13"/>
      <c r="F368" s="14">
        <v>588</v>
      </c>
      <c r="G368" s="14">
        <v>436</v>
      </c>
      <c r="H368" s="11"/>
      <c r="I368" s="4">
        <f>F368</f>
        <v>588</v>
      </c>
      <c r="J368" s="4">
        <f>G368+D368</f>
        <v>476</v>
      </c>
      <c r="K368" s="11"/>
      <c r="L368" s="4">
        <f>I368</f>
        <v>588</v>
      </c>
      <c r="M368" s="4">
        <f>J368+G367</f>
        <v>476</v>
      </c>
      <c r="N368" s="11"/>
      <c r="O368" s="4">
        <f>L368</f>
        <v>588</v>
      </c>
      <c r="P368" s="4">
        <f>M368+J367</f>
        <v>476</v>
      </c>
      <c r="Q368" s="11"/>
      <c r="R368" s="4">
        <f>O368</f>
        <v>588</v>
      </c>
      <c r="S368" s="4">
        <f>P368+M367</f>
        <v>476</v>
      </c>
      <c r="T368" s="6"/>
    </row>
    <row r="369" spans="1:20" x14ac:dyDescent="0.25">
      <c r="A369" s="7"/>
      <c r="B369" s="16"/>
      <c r="C369" s="13"/>
      <c r="D369" s="13"/>
      <c r="E369" s="13"/>
      <c r="F369" s="14"/>
      <c r="G369" s="14"/>
      <c r="H369" s="11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6"/>
    </row>
    <row r="370" spans="1:20" x14ac:dyDescent="0.25">
      <c r="A370" s="7"/>
      <c r="B370" s="16"/>
      <c r="C370" s="13"/>
      <c r="D370" s="13"/>
      <c r="E370" s="13"/>
      <c r="F370" s="14"/>
      <c r="G370" s="14"/>
      <c r="H370" s="11"/>
      <c r="I370" s="15" t="s">
        <v>49</v>
      </c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6"/>
    </row>
    <row r="371" spans="1:20" x14ac:dyDescent="0.25">
      <c r="A371" s="7"/>
      <c r="B371" s="16"/>
      <c r="C371" s="13"/>
      <c r="D371" s="13"/>
      <c r="E371" s="13"/>
      <c r="F371" s="14"/>
      <c r="G371" s="14"/>
      <c r="H371" s="11"/>
      <c r="I371" s="15" t="str">
        <f>I372&amp;","&amp;J372&amp;" "&amp;L372&amp;","&amp;M372&amp;" "&amp;O372&amp;","&amp;P372&amp;" "&amp;R372&amp;","&amp;S372</f>
        <v>588,416 608,436 588,456 568,436</v>
      </c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6"/>
    </row>
    <row r="372" spans="1:20" x14ac:dyDescent="0.25">
      <c r="A372" s="7"/>
      <c r="B372" s="16"/>
      <c r="C372" s="13"/>
      <c r="D372" s="13"/>
      <c r="E372" s="13"/>
      <c r="F372" s="14"/>
      <c r="G372" s="14"/>
      <c r="H372" s="11"/>
      <c r="I372" s="5">
        <f>F368</f>
        <v>588</v>
      </c>
      <c r="J372" s="5">
        <f>G368-(D368/2)</f>
        <v>416</v>
      </c>
      <c r="K372" s="5"/>
      <c r="L372" s="5">
        <f>F368+(D368/2)</f>
        <v>608</v>
      </c>
      <c r="M372" s="5">
        <f>G368</f>
        <v>436</v>
      </c>
      <c r="N372" s="5"/>
      <c r="O372" s="5">
        <f>F368</f>
        <v>588</v>
      </c>
      <c r="P372" s="5">
        <f>G368+(D368/2)</f>
        <v>456</v>
      </c>
      <c r="Q372" s="5"/>
      <c r="R372" s="5">
        <f>F368-(D368/2)</f>
        <v>568</v>
      </c>
      <c r="S372" s="5">
        <f>G368</f>
        <v>436</v>
      </c>
      <c r="T372" s="6"/>
    </row>
    <row r="373" spans="1:20" x14ac:dyDescent="0.25">
      <c r="A373" s="7"/>
      <c r="B373" s="16"/>
      <c r="C373" s="13"/>
      <c r="D373" s="13"/>
      <c r="E373" s="13"/>
      <c r="F373" s="14"/>
      <c r="G373" s="14"/>
      <c r="H373" s="11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6"/>
    </row>
    <row r="374" spans="1:20" x14ac:dyDescent="0.25">
      <c r="A374" s="7"/>
      <c r="B374" s="9" t="s">
        <v>56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6"/>
    </row>
    <row r="375" spans="1:20" x14ac:dyDescent="0.25">
      <c r="A375" s="7"/>
      <c r="B375" s="10" t="str">
        <f>"&lt;g data-system="&amp;""""&amp;B367&amp;""""&amp;" class="&amp;""""&amp;"overlay trans_center"&amp;""""&amp;" onclick="&amp;""""&amp;"parent.system_click(this);"&amp;""""&amp;"&gt;"&amp;"&lt;polygon points="&amp;""""&amp;I371&amp;""""&amp;"/&gt;"&amp;"&lt;text x="&amp;""""&amp;I368&amp;""""&amp;" y="&amp;""""&amp;J368&amp;""""&amp;"&gt;"&amp;B367&amp;"&lt;/text&gt;"&amp;"&lt;/g&gt;"</f>
        <v>&lt;g data-system="" class="overlay trans_center" onclick="parent.system_click(this);"&gt;&lt;polygon points="588,416 608,436 588,456 568,436"/&gt;&lt;text x="588" y="476"&gt;&lt;/text&gt;&lt;/g&gt;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6"/>
    </row>
    <row r="376" spans="1:20" x14ac:dyDescent="0.25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8" spans="1:20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1:20" x14ac:dyDescent="0.25">
      <c r="A379" s="7"/>
      <c r="B379" s="16"/>
      <c r="C379" s="13"/>
      <c r="E379" s="13"/>
      <c r="F379" s="14" t="s">
        <v>50</v>
      </c>
      <c r="G379" s="14"/>
      <c r="H379" s="11"/>
      <c r="I379" s="12" t="s">
        <v>53</v>
      </c>
      <c r="J379" s="12"/>
      <c r="K379" s="11"/>
      <c r="L379" s="12" t="s">
        <v>54</v>
      </c>
      <c r="M379" s="12"/>
      <c r="N379" s="11"/>
      <c r="O379" s="12" t="s">
        <v>55</v>
      </c>
      <c r="P379" s="12"/>
      <c r="Q379" s="11"/>
      <c r="R379" s="12" t="s">
        <v>55</v>
      </c>
      <c r="S379" s="12"/>
      <c r="T379" s="6"/>
    </row>
    <row r="380" spans="1:20" x14ac:dyDescent="0.25">
      <c r="A380" s="7"/>
      <c r="B380" s="16"/>
      <c r="C380" s="13"/>
      <c r="D380" s="13">
        <v>40</v>
      </c>
      <c r="E380" s="13"/>
      <c r="F380" s="14">
        <v>100</v>
      </c>
      <c r="G380" s="14">
        <v>470</v>
      </c>
      <c r="H380" s="11"/>
      <c r="I380" s="4">
        <f>F380</f>
        <v>100</v>
      </c>
      <c r="J380" s="4">
        <f>G380+D380</f>
        <v>510</v>
      </c>
      <c r="K380" s="11"/>
      <c r="L380" s="4">
        <f>I380</f>
        <v>100</v>
      </c>
      <c r="M380" s="4">
        <f>J380+G379</f>
        <v>510</v>
      </c>
      <c r="N380" s="11"/>
      <c r="O380" s="4">
        <f>L380</f>
        <v>100</v>
      </c>
      <c r="P380" s="4">
        <f>M380+J379</f>
        <v>510</v>
      </c>
      <c r="Q380" s="11"/>
      <c r="R380" s="4">
        <f>O380</f>
        <v>100</v>
      </c>
      <c r="S380" s="4">
        <f>P380+M379</f>
        <v>510</v>
      </c>
      <c r="T380" s="6"/>
    </row>
    <row r="381" spans="1:20" x14ac:dyDescent="0.25">
      <c r="A381" s="7"/>
      <c r="B381" s="16"/>
      <c r="C381" s="13"/>
      <c r="D381" s="13"/>
      <c r="E381" s="13"/>
      <c r="F381" s="14"/>
      <c r="G381" s="14"/>
      <c r="H381" s="11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6"/>
    </row>
    <row r="382" spans="1:20" x14ac:dyDescent="0.25">
      <c r="A382" s="7"/>
      <c r="B382" s="16"/>
      <c r="C382" s="13"/>
      <c r="D382" s="13"/>
      <c r="E382" s="13"/>
      <c r="F382" s="14"/>
      <c r="G382" s="14"/>
      <c r="H382" s="11"/>
      <c r="I382" s="15" t="s">
        <v>49</v>
      </c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6"/>
    </row>
    <row r="383" spans="1:20" x14ac:dyDescent="0.25">
      <c r="A383" s="7"/>
      <c r="B383" s="16"/>
      <c r="C383" s="13"/>
      <c r="D383" s="13"/>
      <c r="E383" s="13"/>
      <c r="F383" s="14"/>
      <c r="G383" s="14"/>
      <c r="H383" s="11"/>
      <c r="I383" s="15" t="str">
        <f>I384&amp;","&amp;J384&amp;" "&amp;L384&amp;","&amp;M384&amp;" "&amp;O384&amp;","&amp;P384&amp;" "&amp;R384&amp;","&amp;S384</f>
        <v>100,450 120,470 100,490 80,470</v>
      </c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6"/>
    </row>
    <row r="384" spans="1:20" x14ac:dyDescent="0.25">
      <c r="A384" s="7"/>
      <c r="B384" s="16"/>
      <c r="C384" s="13"/>
      <c r="D384" s="13"/>
      <c r="E384" s="13"/>
      <c r="F384" s="14"/>
      <c r="G384" s="14"/>
      <c r="H384" s="11"/>
      <c r="I384" s="5">
        <f>F380</f>
        <v>100</v>
      </c>
      <c r="J384" s="5">
        <f>G380-(D380/2)</f>
        <v>450</v>
      </c>
      <c r="K384" s="5"/>
      <c r="L384" s="5">
        <f>F380+(D380/2)</f>
        <v>120</v>
      </c>
      <c r="M384" s="5">
        <f>G380</f>
        <v>470</v>
      </c>
      <c r="N384" s="5"/>
      <c r="O384" s="5">
        <f>F380</f>
        <v>100</v>
      </c>
      <c r="P384" s="5">
        <f>G380+(D380/2)</f>
        <v>490</v>
      </c>
      <c r="Q384" s="5"/>
      <c r="R384" s="5">
        <f>F380-(D380/2)</f>
        <v>80</v>
      </c>
      <c r="S384" s="5">
        <f>G380</f>
        <v>470</v>
      </c>
      <c r="T384" s="6"/>
    </row>
    <row r="385" spans="1:20" x14ac:dyDescent="0.25">
      <c r="A385" s="7"/>
      <c r="B385" s="16"/>
      <c r="C385" s="13"/>
      <c r="D385" s="13"/>
      <c r="E385" s="13"/>
      <c r="F385" s="14"/>
      <c r="G385" s="14"/>
      <c r="H385" s="11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6"/>
    </row>
    <row r="386" spans="1:20" x14ac:dyDescent="0.25">
      <c r="A386" s="7"/>
      <c r="B386" s="9" t="s">
        <v>56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6"/>
    </row>
    <row r="387" spans="1:20" x14ac:dyDescent="0.25">
      <c r="A387" s="7"/>
      <c r="B387" s="10" t="str">
        <f>"&lt;g data-system="&amp;""""&amp;B379&amp;""""&amp;" class="&amp;""""&amp;"overlay trans_center"&amp;""""&amp;" onclick="&amp;""""&amp;"parent.system_click(this);"&amp;""""&amp;"&gt;"&amp;"&lt;polygon points="&amp;""""&amp;I383&amp;""""&amp;"/&gt;"&amp;"&lt;text x="&amp;""""&amp;I380&amp;""""&amp;" y="&amp;""""&amp;J380&amp;""""&amp;"&gt;"&amp;B379&amp;"&lt;/text&gt;"&amp;"&lt;/g&gt;"</f>
        <v>&lt;g data-system="" class="overlay trans_center" onclick="parent.system_click(this);"&gt;&lt;polygon points="100,450 120,470 100,490 80,470"/&gt;&lt;text x="100" y="510"&gt;&lt;/text&gt;&lt;/g&gt;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6"/>
    </row>
    <row r="388" spans="1:20" x14ac:dyDescent="0.25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spans="1:20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spans="1:20" x14ac:dyDescent="0.25">
      <c r="A390" s="7"/>
      <c r="B390" s="16"/>
      <c r="C390" s="13"/>
      <c r="E390" s="13"/>
      <c r="F390" s="14" t="s">
        <v>50</v>
      </c>
      <c r="G390" s="14"/>
      <c r="H390" s="11"/>
      <c r="I390" s="12" t="s">
        <v>53</v>
      </c>
      <c r="J390" s="12"/>
      <c r="K390" s="11"/>
      <c r="L390" s="12" t="s">
        <v>54</v>
      </c>
      <c r="M390" s="12"/>
      <c r="N390" s="11"/>
      <c r="O390" s="12" t="s">
        <v>55</v>
      </c>
      <c r="P390" s="12"/>
      <c r="Q390" s="11"/>
      <c r="R390" s="12" t="s">
        <v>55</v>
      </c>
      <c r="S390" s="12"/>
      <c r="T390" s="6"/>
    </row>
    <row r="391" spans="1:20" x14ac:dyDescent="0.25">
      <c r="A391" s="7"/>
      <c r="B391" s="16"/>
      <c r="C391" s="13"/>
      <c r="D391" s="13">
        <v>40</v>
      </c>
      <c r="E391" s="13"/>
      <c r="F391" s="14">
        <v>390</v>
      </c>
      <c r="G391" s="14">
        <v>470</v>
      </c>
      <c r="H391" s="11"/>
      <c r="I391" s="4">
        <f>F391</f>
        <v>390</v>
      </c>
      <c r="J391" s="4">
        <f>G391+D391</f>
        <v>510</v>
      </c>
      <c r="K391" s="11"/>
      <c r="L391" s="4">
        <f>I391</f>
        <v>390</v>
      </c>
      <c r="M391" s="4">
        <f>J391+G390</f>
        <v>510</v>
      </c>
      <c r="N391" s="11"/>
      <c r="O391" s="4">
        <f>L391</f>
        <v>390</v>
      </c>
      <c r="P391" s="4">
        <f>M391+J390</f>
        <v>510</v>
      </c>
      <c r="Q391" s="11"/>
      <c r="R391" s="4">
        <f>O391</f>
        <v>390</v>
      </c>
      <c r="S391" s="4">
        <f>P391+M390</f>
        <v>510</v>
      </c>
      <c r="T391" s="6"/>
    </row>
    <row r="392" spans="1:20" x14ac:dyDescent="0.25">
      <c r="A392" s="7"/>
      <c r="B392" s="16"/>
      <c r="C392" s="13"/>
      <c r="D392" s="13"/>
      <c r="E392" s="13"/>
      <c r="F392" s="14"/>
      <c r="G392" s="14"/>
      <c r="H392" s="11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6"/>
    </row>
    <row r="393" spans="1:20" x14ac:dyDescent="0.25">
      <c r="A393" s="7"/>
      <c r="B393" s="16"/>
      <c r="C393" s="13"/>
      <c r="D393" s="13"/>
      <c r="E393" s="13"/>
      <c r="F393" s="14"/>
      <c r="G393" s="14"/>
      <c r="H393" s="11"/>
      <c r="I393" s="15" t="s">
        <v>49</v>
      </c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6"/>
    </row>
    <row r="394" spans="1:20" x14ac:dyDescent="0.25">
      <c r="A394" s="7"/>
      <c r="B394" s="16"/>
      <c r="C394" s="13"/>
      <c r="D394" s="13"/>
      <c r="E394" s="13"/>
      <c r="F394" s="14"/>
      <c r="G394" s="14"/>
      <c r="H394" s="11"/>
      <c r="I394" s="15" t="str">
        <f>I395&amp;","&amp;J395&amp;" "&amp;L395&amp;","&amp;M395&amp;" "&amp;O395&amp;","&amp;P395&amp;" "&amp;R395&amp;","&amp;S395</f>
        <v>390,450 410,470 390,490 370,470</v>
      </c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6"/>
    </row>
    <row r="395" spans="1:20" x14ac:dyDescent="0.25">
      <c r="A395" s="7"/>
      <c r="B395" s="16"/>
      <c r="C395" s="13"/>
      <c r="D395" s="13"/>
      <c r="E395" s="13"/>
      <c r="F395" s="14"/>
      <c r="G395" s="14"/>
      <c r="H395" s="11"/>
      <c r="I395" s="5">
        <f>F391</f>
        <v>390</v>
      </c>
      <c r="J395" s="5">
        <f>G391-(D391/2)</f>
        <v>450</v>
      </c>
      <c r="K395" s="5"/>
      <c r="L395" s="5">
        <f>F391+(D391/2)</f>
        <v>410</v>
      </c>
      <c r="M395" s="5">
        <f>G391</f>
        <v>470</v>
      </c>
      <c r="N395" s="5"/>
      <c r="O395" s="5">
        <f>F391</f>
        <v>390</v>
      </c>
      <c r="P395" s="5">
        <f>G391+(D391/2)</f>
        <v>490</v>
      </c>
      <c r="Q395" s="5"/>
      <c r="R395" s="5">
        <f>F391-(D391/2)</f>
        <v>370</v>
      </c>
      <c r="S395" s="5">
        <f>G391</f>
        <v>470</v>
      </c>
      <c r="T395" s="6"/>
    </row>
    <row r="396" spans="1:20" x14ac:dyDescent="0.25">
      <c r="A396" s="7"/>
      <c r="B396" s="16"/>
      <c r="C396" s="13"/>
      <c r="D396" s="13"/>
      <c r="E396" s="13"/>
      <c r="F396" s="14"/>
      <c r="G396" s="14"/>
      <c r="H396" s="11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6"/>
    </row>
    <row r="397" spans="1:20" x14ac:dyDescent="0.25">
      <c r="A397" s="7"/>
      <c r="B397" s="9" t="s">
        <v>56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6"/>
    </row>
    <row r="398" spans="1:20" x14ac:dyDescent="0.25">
      <c r="A398" s="7"/>
      <c r="B398" s="10" t="str">
        <f>"&lt;g data-system="&amp;""""&amp;B390&amp;""""&amp;" class="&amp;""""&amp;"overlay trans_center"&amp;""""&amp;" onclick="&amp;""""&amp;"parent.system_click(this);"&amp;""""&amp;"&gt;"&amp;"&lt;polygon points="&amp;""""&amp;I394&amp;""""&amp;"/&gt;"&amp;"&lt;text x="&amp;""""&amp;I391&amp;""""&amp;" y="&amp;""""&amp;J391&amp;""""&amp;"&gt;"&amp;B390&amp;"&lt;/text&gt;"&amp;"&lt;/g&gt;"</f>
        <v>&lt;g data-system="" class="overlay trans_center" onclick="parent.system_click(this);"&gt;&lt;polygon points="390,450 410,470 390,490 370,470"/&gt;&lt;text x="390" y="510"&gt;&lt;/text&gt;&lt;/g&gt;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6"/>
    </row>
    <row r="399" spans="1:20" x14ac:dyDescent="0.25">
      <c r="A399" s="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spans="1:20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spans="1:20" x14ac:dyDescent="0.25">
      <c r="A401" s="7"/>
      <c r="B401" s="16"/>
      <c r="C401" s="13"/>
      <c r="E401" s="13"/>
      <c r="F401" s="14" t="s">
        <v>50</v>
      </c>
      <c r="G401" s="14"/>
      <c r="H401" s="11"/>
      <c r="I401" s="12" t="s">
        <v>53</v>
      </c>
      <c r="J401" s="12"/>
      <c r="K401" s="11"/>
      <c r="L401" s="12" t="s">
        <v>54</v>
      </c>
      <c r="M401" s="12"/>
      <c r="N401" s="11"/>
      <c r="O401" s="12" t="s">
        <v>55</v>
      </c>
      <c r="P401" s="12"/>
      <c r="Q401" s="11"/>
      <c r="R401" s="12" t="s">
        <v>55</v>
      </c>
      <c r="S401" s="12"/>
      <c r="T401" s="6"/>
    </row>
    <row r="402" spans="1:20" x14ac:dyDescent="0.25">
      <c r="A402" s="7"/>
      <c r="B402" s="16"/>
      <c r="C402" s="13"/>
      <c r="D402" s="13">
        <v>40</v>
      </c>
      <c r="E402" s="13"/>
      <c r="F402" s="14">
        <v>588</v>
      </c>
      <c r="G402" s="14">
        <v>436</v>
      </c>
      <c r="H402" s="11"/>
      <c r="I402" s="4">
        <f>F402</f>
        <v>588</v>
      </c>
      <c r="J402" s="4">
        <f>G402+D402</f>
        <v>476</v>
      </c>
      <c r="K402" s="11"/>
      <c r="L402" s="4">
        <f>I402</f>
        <v>588</v>
      </c>
      <c r="M402" s="4">
        <f>J402+G401</f>
        <v>476</v>
      </c>
      <c r="N402" s="11"/>
      <c r="O402" s="4">
        <f>L402</f>
        <v>588</v>
      </c>
      <c r="P402" s="4">
        <f>M402+J401</f>
        <v>476</v>
      </c>
      <c r="Q402" s="11"/>
      <c r="R402" s="4">
        <f>O402</f>
        <v>588</v>
      </c>
      <c r="S402" s="4">
        <f>P402+M401</f>
        <v>476</v>
      </c>
      <c r="T402" s="6"/>
    </row>
    <row r="403" spans="1:20" x14ac:dyDescent="0.25">
      <c r="A403" s="7"/>
      <c r="B403" s="16"/>
      <c r="C403" s="13"/>
      <c r="D403" s="13"/>
      <c r="E403" s="13"/>
      <c r="F403" s="14"/>
      <c r="G403" s="14"/>
      <c r="H403" s="11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6"/>
    </row>
    <row r="404" spans="1:20" x14ac:dyDescent="0.25">
      <c r="A404" s="7"/>
      <c r="B404" s="16"/>
      <c r="C404" s="13"/>
      <c r="D404" s="13"/>
      <c r="E404" s="13"/>
      <c r="F404" s="14"/>
      <c r="G404" s="14"/>
      <c r="H404" s="11"/>
      <c r="I404" s="15" t="s">
        <v>49</v>
      </c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6"/>
    </row>
    <row r="405" spans="1:20" x14ac:dyDescent="0.25">
      <c r="A405" s="7"/>
      <c r="B405" s="16"/>
      <c r="C405" s="13"/>
      <c r="D405" s="13"/>
      <c r="E405" s="13"/>
      <c r="F405" s="14"/>
      <c r="G405" s="14"/>
      <c r="H405" s="11"/>
      <c r="I405" s="15" t="str">
        <f>I406&amp;","&amp;J406&amp;" "&amp;L406&amp;","&amp;M406&amp;" "&amp;O406&amp;","&amp;P406&amp;" "&amp;R406&amp;","&amp;S406</f>
        <v>588,416 608,436 588,456 568,436</v>
      </c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6"/>
    </row>
    <row r="406" spans="1:20" x14ac:dyDescent="0.25">
      <c r="A406" s="7"/>
      <c r="B406" s="16"/>
      <c r="C406" s="13"/>
      <c r="D406" s="13"/>
      <c r="E406" s="13"/>
      <c r="F406" s="14"/>
      <c r="G406" s="14"/>
      <c r="H406" s="11"/>
      <c r="I406" s="5">
        <f>F402</f>
        <v>588</v>
      </c>
      <c r="J406" s="5">
        <f>G402-(D402/2)</f>
        <v>416</v>
      </c>
      <c r="K406" s="5"/>
      <c r="L406" s="5">
        <f>F402+(D402/2)</f>
        <v>608</v>
      </c>
      <c r="M406" s="5">
        <f>G402</f>
        <v>436</v>
      </c>
      <c r="N406" s="5"/>
      <c r="O406" s="5">
        <f>F402</f>
        <v>588</v>
      </c>
      <c r="P406" s="5">
        <f>G402+(D402/2)</f>
        <v>456</v>
      </c>
      <c r="Q406" s="5"/>
      <c r="R406" s="5">
        <f>F402-(D402/2)</f>
        <v>568</v>
      </c>
      <c r="S406" s="5">
        <f>G402</f>
        <v>436</v>
      </c>
      <c r="T406" s="6"/>
    </row>
    <row r="407" spans="1:20" x14ac:dyDescent="0.25">
      <c r="A407" s="7"/>
      <c r="B407" s="16"/>
      <c r="C407" s="13"/>
      <c r="D407" s="13"/>
      <c r="E407" s="13"/>
      <c r="F407" s="14"/>
      <c r="G407" s="14"/>
      <c r="H407" s="11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6"/>
    </row>
    <row r="408" spans="1:20" x14ac:dyDescent="0.25">
      <c r="A408" s="7"/>
      <c r="B408" s="9" t="s">
        <v>56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6"/>
    </row>
    <row r="409" spans="1:20" x14ac:dyDescent="0.25">
      <c r="A409" s="7"/>
      <c r="B409" s="10" t="str">
        <f>"&lt;g data-system="&amp;""""&amp;B401&amp;""""&amp;" class="&amp;""""&amp;"overlay trans_center"&amp;""""&amp;" onclick="&amp;""""&amp;"parent.system_click(this);"&amp;""""&amp;"&gt;"&amp;"&lt;polygon points="&amp;""""&amp;I405&amp;""""&amp;"/&gt;"&amp;"&lt;text x="&amp;""""&amp;I402&amp;""""&amp;" y="&amp;""""&amp;J402&amp;""""&amp;"&gt;"&amp;B401&amp;"&lt;/text&gt;"&amp;"&lt;/g&gt;"</f>
        <v>&lt;g data-system="" class="overlay trans_center" onclick="parent.system_click(this);"&gt;&lt;polygon points="588,416 608,436 588,456 568,436"/&gt;&lt;text x="588" y="476"&gt;&lt;/text&gt;&lt;/g&gt;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6"/>
    </row>
    <row r="410" spans="1:20" x14ac:dyDescent="0.25">
      <c r="A410" s="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</sheetData>
  <mergeCells count="722">
    <mergeCell ref="H5:H11"/>
    <mergeCell ref="I11:S11"/>
    <mergeCell ref="L27:M27"/>
    <mergeCell ref="N27:N28"/>
    <mergeCell ref="O27:P27"/>
    <mergeCell ref="I19:S19"/>
    <mergeCell ref="I20:S20"/>
    <mergeCell ref="B23:S23"/>
    <mergeCell ref="B24:S24"/>
    <mergeCell ref="F27:G27"/>
    <mergeCell ref="Q16:Q17"/>
    <mergeCell ref="R16:S16"/>
    <mergeCell ref="I16:J16"/>
    <mergeCell ref="K16:K17"/>
    <mergeCell ref="L16:M16"/>
    <mergeCell ref="N16:N17"/>
    <mergeCell ref="O16:P16"/>
    <mergeCell ref="F16:G16"/>
    <mergeCell ref="B16:B22"/>
    <mergeCell ref="C16:C22"/>
    <mergeCell ref="B47:S47"/>
    <mergeCell ref="F50:G50"/>
    <mergeCell ref="I50:J50"/>
    <mergeCell ref="K50:K51"/>
    <mergeCell ref="L50:M50"/>
    <mergeCell ref="I42:S42"/>
    <mergeCell ref="I43:S43"/>
    <mergeCell ref="B46:S46"/>
    <mergeCell ref="N39:N40"/>
    <mergeCell ref="O39:P39"/>
    <mergeCell ref="Q39:Q40"/>
    <mergeCell ref="R39:S39"/>
    <mergeCell ref="F39:G39"/>
    <mergeCell ref="N50:N51"/>
    <mergeCell ref="O50:P50"/>
    <mergeCell ref="Q50:Q51"/>
    <mergeCell ref="I39:J39"/>
    <mergeCell ref="K39:K40"/>
    <mergeCell ref="L39:M39"/>
    <mergeCell ref="B68:S68"/>
    <mergeCell ref="B69:S69"/>
    <mergeCell ref="F73:G73"/>
    <mergeCell ref="I73:J73"/>
    <mergeCell ref="I64:S64"/>
    <mergeCell ref="I65:S65"/>
    <mergeCell ref="K61:K62"/>
    <mergeCell ref="L61:M61"/>
    <mergeCell ref="N61:N62"/>
    <mergeCell ref="O61:P61"/>
    <mergeCell ref="Q61:Q62"/>
    <mergeCell ref="R61:S61"/>
    <mergeCell ref="F61:G61"/>
    <mergeCell ref="I61:J61"/>
    <mergeCell ref="B80:S80"/>
    <mergeCell ref="B81:S81"/>
    <mergeCell ref="I76:S76"/>
    <mergeCell ref="I77:S77"/>
    <mergeCell ref="K73:K74"/>
    <mergeCell ref="L73:M73"/>
    <mergeCell ref="N73:N74"/>
    <mergeCell ref="O73:P73"/>
    <mergeCell ref="Q73:Q74"/>
    <mergeCell ref="R73:S73"/>
    <mergeCell ref="E16:E22"/>
    <mergeCell ref="H16:H22"/>
    <mergeCell ref="D17:D22"/>
    <mergeCell ref="F17:F22"/>
    <mergeCell ref="G17:G22"/>
    <mergeCell ref="I22:S22"/>
    <mergeCell ref="B5:B11"/>
    <mergeCell ref="F6:F11"/>
    <mergeCell ref="G6:G11"/>
    <mergeCell ref="D6:D11"/>
    <mergeCell ref="C5:C11"/>
    <mergeCell ref="E5:E11"/>
    <mergeCell ref="B13:S13"/>
    <mergeCell ref="K5:K6"/>
    <mergeCell ref="N5:N6"/>
    <mergeCell ref="Q5:Q6"/>
    <mergeCell ref="R5:S5"/>
    <mergeCell ref="I8:S8"/>
    <mergeCell ref="B12:S12"/>
    <mergeCell ref="F5:G5"/>
    <mergeCell ref="I5:J5"/>
    <mergeCell ref="L5:M5"/>
    <mergeCell ref="O5:P5"/>
    <mergeCell ref="I9:S9"/>
    <mergeCell ref="I33:S33"/>
    <mergeCell ref="B39:B45"/>
    <mergeCell ref="C39:C45"/>
    <mergeCell ref="E39:E45"/>
    <mergeCell ref="H39:H45"/>
    <mergeCell ref="D40:D45"/>
    <mergeCell ref="F40:F45"/>
    <mergeCell ref="G40:G45"/>
    <mergeCell ref="I45:S45"/>
    <mergeCell ref="B27:B33"/>
    <mergeCell ref="C27:C33"/>
    <mergeCell ref="E27:E33"/>
    <mergeCell ref="H27:H33"/>
    <mergeCell ref="D28:D33"/>
    <mergeCell ref="F28:F33"/>
    <mergeCell ref="G28:G33"/>
    <mergeCell ref="I30:S30"/>
    <mergeCell ref="I31:S31"/>
    <mergeCell ref="B34:S34"/>
    <mergeCell ref="B35:S35"/>
    <mergeCell ref="Q27:Q28"/>
    <mergeCell ref="R27:S27"/>
    <mergeCell ref="I27:J27"/>
    <mergeCell ref="K27:K28"/>
    <mergeCell ref="G62:G67"/>
    <mergeCell ref="I67:S67"/>
    <mergeCell ref="B50:B56"/>
    <mergeCell ref="C50:C56"/>
    <mergeCell ref="E50:E56"/>
    <mergeCell ref="H50:H56"/>
    <mergeCell ref="D51:D56"/>
    <mergeCell ref="F51:F56"/>
    <mergeCell ref="G51:G56"/>
    <mergeCell ref="B57:S57"/>
    <mergeCell ref="B58:S58"/>
    <mergeCell ref="R50:S50"/>
    <mergeCell ref="I53:S53"/>
    <mergeCell ref="I54:S54"/>
    <mergeCell ref="I79:S79"/>
    <mergeCell ref="A71:T71"/>
    <mergeCell ref="A37:T37"/>
    <mergeCell ref="B84:B90"/>
    <mergeCell ref="C84:C90"/>
    <mergeCell ref="E84:E90"/>
    <mergeCell ref="F84:G84"/>
    <mergeCell ref="H84:H90"/>
    <mergeCell ref="I84:J84"/>
    <mergeCell ref="K84:K85"/>
    <mergeCell ref="B73:B79"/>
    <mergeCell ref="C73:C79"/>
    <mergeCell ref="E73:E79"/>
    <mergeCell ref="H73:H79"/>
    <mergeCell ref="D74:D79"/>
    <mergeCell ref="F74:F79"/>
    <mergeCell ref="G74:G79"/>
    <mergeCell ref="I56:S56"/>
    <mergeCell ref="B61:B67"/>
    <mergeCell ref="C61:C67"/>
    <mergeCell ref="E61:E67"/>
    <mergeCell ref="H61:H67"/>
    <mergeCell ref="D62:D67"/>
    <mergeCell ref="F62:F67"/>
    <mergeCell ref="L84:M84"/>
    <mergeCell ref="N84:N85"/>
    <mergeCell ref="O84:P84"/>
    <mergeCell ref="Q84:Q85"/>
    <mergeCell ref="R84:S84"/>
    <mergeCell ref="D85:D90"/>
    <mergeCell ref="F85:F90"/>
    <mergeCell ref="G85:G90"/>
    <mergeCell ref="I87:S87"/>
    <mergeCell ref="I88:S88"/>
    <mergeCell ref="I90:S90"/>
    <mergeCell ref="B91:S91"/>
    <mergeCell ref="B92:S92"/>
    <mergeCell ref="B95:B101"/>
    <mergeCell ref="C95:C101"/>
    <mergeCell ref="E95:E101"/>
    <mergeCell ref="F95:G95"/>
    <mergeCell ref="H95:H101"/>
    <mergeCell ref="I95:J95"/>
    <mergeCell ref="K95:K96"/>
    <mergeCell ref="L95:M95"/>
    <mergeCell ref="N95:N96"/>
    <mergeCell ref="O95:P95"/>
    <mergeCell ref="Q95:Q96"/>
    <mergeCell ref="R95:S95"/>
    <mergeCell ref="D96:D101"/>
    <mergeCell ref="F96:F101"/>
    <mergeCell ref="G96:G101"/>
    <mergeCell ref="I98:S98"/>
    <mergeCell ref="I99:S99"/>
    <mergeCell ref="I101:S101"/>
    <mergeCell ref="B102:S102"/>
    <mergeCell ref="B103:S103"/>
    <mergeCell ref="B107:B113"/>
    <mergeCell ref="C107:C113"/>
    <mergeCell ref="E107:E113"/>
    <mergeCell ref="F107:G107"/>
    <mergeCell ref="H107:H113"/>
    <mergeCell ref="I107:J107"/>
    <mergeCell ref="K107:K108"/>
    <mergeCell ref="L107:M107"/>
    <mergeCell ref="N107:N108"/>
    <mergeCell ref="O107:P107"/>
    <mergeCell ref="Q107:Q108"/>
    <mergeCell ref="R107:S107"/>
    <mergeCell ref="D108:D113"/>
    <mergeCell ref="F108:F113"/>
    <mergeCell ref="G108:G113"/>
    <mergeCell ref="I110:S110"/>
    <mergeCell ref="I111:S111"/>
    <mergeCell ref="I113:S113"/>
    <mergeCell ref="B114:S114"/>
    <mergeCell ref="B115:S115"/>
    <mergeCell ref="B118:B124"/>
    <mergeCell ref="C118:C124"/>
    <mergeCell ref="E118:E124"/>
    <mergeCell ref="F118:G118"/>
    <mergeCell ref="H118:H124"/>
    <mergeCell ref="I118:J118"/>
    <mergeCell ref="K118:K119"/>
    <mergeCell ref="L118:M118"/>
    <mergeCell ref="N118:N119"/>
    <mergeCell ref="O118:P118"/>
    <mergeCell ref="Q118:Q119"/>
    <mergeCell ref="R118:S118"/>
    <mergeCell ref="D119:D124"/>
    <mergeCell ref="F119:F124"/>
    <mergeCell ref="G119:G124"/>
    <mergeCell ref="I121:S121"/>
    <mergeCell ref="I122:S122"/>
    <mergeCell ref="I124:S124"/>
    <mergeCell ref="B125:S125"/>
    <mergeCell ref="B126:S126"/>
    <mergeCell ref="B129:B135"/>
    <mergeCell ref="C129:C135"/>
    <mergeCell ref="E129:E135"/>
    <mergeCell ref="F129:G129"/>
    <mergeCell ref="H129:H135"/>
    <mergeCell ref="I129:J129"/>
    <mergeCell ref="K129:K130"/>
    <mergeCell ref="I135:S135"/>
    <mergeCell ref="B136:S136"/>
    <mergeCell ref="B137:S137"/>
    <mergeCell ref="L129:M129"/>
    <mergeCell ref="N129:N130"/>
    <mergeCell ref="O129:P129"/>
    <mergeCell ref="Q129:Q130"/>
    <mergeCell ref="R129:S129"/>
    <mergeCell ref="D130:D135"/>
    <mergeCell ref="F130:F135"/>
    <mergeCell ref="G130:G135"/>
    <mergeCell ref="I132:S132"/>
    <mergeCell ref="I133:S133"/>
    <mergeCell ref="B141:B147"/>
    <mergeCell ref="C141:C147"/>
    <mergeCell ref="E141:E147"/>
    <mergeCell ref="F141:G141"/>
    <mergeCell ref="H141:H147"/>
    <mergeCell ref="I141:J141"/>
    <mergeCell ref="K141:K142"/>
    <mergeCell ref="I156:S156"/>
    <mergeCell ref="I145:S145"/>
    <mergeCell ref="L141:M141"/>
    <mergeCell ref="N141:N142"/>
    <mergeCell ref="O141:P141"/>
    <mergeCell ref="Q141:Q142"/>
    <mergeCell ref="R141:S141"/>
    <mergeCell ref="D142:D147"/>
    <mergeCell ref="F142:F147"/>
    <mergeCell ref="G142:G147"/>
    <mergeCell ref="I144:S144"/>
    <mergeCell ref="I147:S147"/>
    <mergeCell ref="B148:S148"/>
    <mergeCell ref="B149:S149"/>
    <mergeCell ref="B152:B158"/>
    <mergeCell ref="C152:C158"/>
    <mergeCell ref="E152:E158"/>
    <mergeCell ref="F152:G152"/>
    <mergeCell ref="H152:H158"/>
    <mergeCell ref="I152:J152"/>
    <mergeCell ref="K152:K153"/>
    <mergeCell ref="L152:M152"/>
    <mergeCell ref="N152:N153"/>
    <mergeCell ref="O152:P152"/>
    <mergeCell ref="Q152:Q153"/>
    <mergeCell ref="R152:S152"/>
    <mergeCell ref="D153:D158"/>
    <mergeCell ref="F153:F158"/>
    <mergeCell ref="G153:G158"/>
    <mergeCell ref="I155:S155"/>
    <mergeCell ref="I158:S158"/>
    <mergeCell ref="B159:S159"/>
    <mergeCell ref="B160:S160"/>
    <mergeCell ref="B163:B169"/>
    <mergeCell ref="C163:C169"/>
    <mergeCell ref="E163:E169"/>
    <mergeCell ref="F163:G163"/>
    <mergeCell ref="H163:H169"/>
    <mergeCell ref="I163:J163"/>
    <mergeCell ref="K163:K164"/>
    <mergeCell ref="L163:M163"/>
    <mergeCell ref="I167:S167"/>
    <mergeCell ref="N163:N164"/>
    <mergeCell ref="O163:P163"/>
    <mergeCell ref="Q163:Q164"/>
    <mergeCell ref="R163:S163"/>
    <mergeCell ref="D164:D169"/>
    <mergeCell ref="F164:F169"/>
    <mergeCell ref="G164:G169"/>
    <mergeCell ref="I166:S166"/>
    <mergeCell ref="I169:S169"/>
    <mergeCell ref="B170:S170"/>
    <mergeCell ref="B171:S171"/>
    <mergeCell ref="B175:B181"/>
    <mergeCell ref="C175:C181"/>
    <mergeCell ref="E175:E181"/>
    <mergeCell ref="F175:G175"/>
    <mergeCell ref="H175:H181"/>
    <mergeCell ref="I175:J175"/>
    <mergeCell ref="K175:K176"/>
    <mergeCell ref="L175:M175"/>
    <mergeCell ref="N175:N176"/>
    <mergeCell ref="O175:P175"/>
    <mergeCell ref="Q175:Q176"/>
    <mergeCell ref="R175:S175"/>
    <mergeCell ref="D176:D181"/>
    <mergeCell ref="F176:F181"/>
    <mergeCell ref="G176:G181"/>
    <mergeCell ref="I178:S178"/>
    <mergeCell ref="I179:S179"/>
    <mergeCell ref="I181:S181"/>
    <mergeCell ref="B182:S182"/>
    <mergeCell ref="B183:S183"/>
    <mergeCell ref="B186:B192"/>
    <mergeCell ref="C186:C192"/>
    <mergeCell ref="E186:E192"/>
    <mergeCell ref="F186:G186"/>
    <mergeCell ref="H186:H192"/>
    <mergeCell ref="I186:J186"/>
    <mergeCell ref="K186:K187"/>
    <mergeCell ref="L186:M186"/>
    <mergeCell ref="N186:N187"/>
    <mergeCell ref="O186:P186"/>
    <mergeCell ref="Q186:Q187"/>
    <mergeCell ref="R186:S186"/>
    <mergeCell ref="D187:D192"/>
    <mergeCell ref="F187:F192"/>
    <mergeCell ref="G187:G192"/>
    <mergeCell ref="I189:S189"/>
    <mergeCell ref="I190:S190"/>
    <mergeCell ref="I192:S192"/>
    <mergeCell ref="B193:S193"/>
    <mergeCell ref="B194:S194"/>
    <mergeCell ref="B197:B203"/>
    <mergeCell ref="C197:C203"/>
    <mergeCell ref="E197:E203"/>
    <mergeCell ref="F197:G197"/>
    <mergeCell ref="H197:H203"/>
    <mergeCell ref="I197:J197"/>
    <mergeCell ref="K197:K198"/>
    <mergeCell ref="L197:M197"/>
    <mergeCell ref="N197:N198"/>
    <mergeCell ref="O197:P197"/>
    <mergeCell ref="Q197:Q198"/>
    <mergeCell ref="R197:S197"/>
    <mergeCell ref="D198:D203"/>
    <mergeCell ref="F198:F203"/>
    <mergeCell ref="G198:G203"/>
    <mergeCell ref="I200:S200"/>
    <mergeCell ref="I201:S201"/>
    <mergeCell ref="I203:S203"/>
    <mergeCell ref="B204:S204"/>
    <mergeCell ref="B205:S205"/>
    <mergeCell ref="B209:B215"/>
    <mergeCell ref="C209:C215"/>
    <mergeCell ref="E209:E215"/>
    <mergeCell ref="F209:G209"/>
    <mergeCell ref="H209:H215"/>
    <mergeCell ref="I209:J209"/>
    <mergeCell ref="K209:K210"/>
    <mergeCell ref="L209:M209"/>
    <mergeCell ref="N209:N210"/>
    <mergeCell ref="O209:P209"/>
    <mergeCell ref="Q209:Q210"/>
    <mergeCell ref="R209:S209"/>
    <mergeCell ref="D210:D215"/>
    <mergeCell ref="F210:F215"/>
    <mergeCell ref="G210:G215"/>
    <mergeCell ref="I212:S212"/>
    <mergeCell ref="I213:S213"/>
    <mergeCell ref="I215:S215"/>
    <mergeCell ref="B216:S216"/>
    <mergeCell ref="B217:S217"/>
    <mergeCell ref="B220:B226"/>
    <mergeCell ref="C220:C226"/>
    <mergeCell ref="E220:E226"/>
    <mergeCell ref="F220:G220"/>
    <mergeCell ref="H220:H226"/>
    <mergeCell ref="I220:J220"/>
    <mergeCell ref="K220:K221"/>
    <mergeCell ref="L220:M220"/>
    <mergeCell ref="N220:N221"/>
    <mergeCell ref="O220:P220"/>
    <mergeCell ref="Q220:Q221"/>
    <mergeCell ref="R220:S220"/>
    <mergeCell ref="D221:D226"/>
    <mergeCell ref="F221:F226"/>
    <mergeCell ref="G221:G226"/>
    <mergeCell ref="I223:S223"/>
    <mergeCell ref="I224:S224"/>
    <mergeCell ref="I226:S226"/>
    <mergeCell ref="B227:S227"/>
    <mergeCell ref="B228:S228"/>
    <mergeCell ref="B231:B237"/>
    <mergeCell ref="C231:C237"/>
    <mergeCell ref="E231:E237"/>
    <mergeCell ref="F231:G231"/>
    <mergeCell ref="H231:H237"/>
    <mergeCell ref="I231:J231"/>
    <mergeCell ref="K231:K232"/>
    <mergeCell ref="L231:M231"/>
    <mergeCell ref="N231:N232"/>
    <mergeCell ref="O231:P231"/>
    <mergeCell ref="Q231:Q232"/>
    <mergeCell ref="R231:S231"/>
    <mergeCell ref="D232:D237"/>
    <mergeCell ref="F232:F237"/>
    <mergeCell ref="G232:G237"/>
    <mergeCell ref="I234:S234"/>
    <mergeCell ref="I235:S235"/>
    <mergeCell ref="I237:S237"/>
    <mergeCell ref="B238:S238"/>
    <mergeCell ref="B239:S239"/>
    <mergeCell ref="B243:B249"/>
    <mergeCell ref="C243:C249"/>
    <mergeCell ref="E243:E249"/>
    <mergeCell ref="F243:G243"/>
    <mergeCell ref="H243:H249"/>
    <mergeCell ref="I243:J243"/>
    <mergeCell ref="K243:K244"/>
    <mergeCell ref="L243:M243"/>
    <mergeCell ref="N243:N244"/>
    <mergeCell ref="O243:P243"/>
    <mergeCell ref="Q243:Q244"/>
    <mergeCell ref="R243:S243"/>
    <mergeCell ref="D244:D249"/>
    <mergeCell ref="F244:F249"/>
    <mergeCell ref="G244:G249"/>
    <mergeCell ref="I246:S246"/>
    <mergeCell ref="I247:S247"/>
    <mergeCell ref="I249:S249"/>
    <mergeCell ref="B250:S250"/>
    <mergeCell ref="B251:S251"/>
    <mergeCell ref="B254:B260"/>
    <mergeCell ref="C254:C260"/>
    <mergeCell ref="E254:E260"/>
    <mergeCell ref="F254:G254"/>
    <mergeCell ref="H254:H260"/>
    <mergeCell ref="I254:J254"/>
    <mergeCell ref="K254:K255"/>
    <mergeCell ref="L254:M254"/>
    <mergeCell ref="N254:N255"/>
    <mergeCell ref="O254:P254"/>
    <mergeCell ref="Q254:Q255"/>
    <mergeCell ref="R254:S254"/>
    <mergeCell ref="D255:D260"/>
    <mergeCell ref="F255:F260"/>
    <mergeCell ref="G255:G260"/>
    <mergeCell ref="I257:S257"/>
    <mergeCell ref="I258:S258"/>
    <mergeCell ref="I260:S260"/>
    <mergeCell ref="B261:S261"/>
    <mergeCell ref="B262:S262"/>
    <mergeCell ref="B265:B271"/>
    <mergeCell ref="C265:C271"/>
    <mergeCell ref="E265:E271"/>
    <mergeCell ref="F265:G265"/>
    <mergeCell ref="H265:H271"/>
    <mergeCell ref="I265:J265"/>
    <mergeCell ref="K265:K266"/>
    <mergeCell ref="L265:M265"/>
    <mergeCell ref="N265:N266"/>
    <mergeCell ref="O265:P265"/>
    <mergeCell ref="Q265:Q266"/>
    <mergeCell ref="R265:S265"/>
    <mergeCell ref="D266:D271"/>
    <mergeCell ref="F266:F271"/>
    <mergeCell ref="G266:G271"/>
    <mergeCell ref="I268:S268"/>
    <mergeCell ref="I269:S269"/>
    <mergeCell ref="I271:S271"/>
    <mergeCell ref="B272:S272"/>
    <mergeCell ref="B273:S273"/>
    <mergeCell ref="B277:B283"/>
    <mergeCell ref="C277:C283"/>
    <mergeCell ref="E277:E283"/>
    <mergeCell ref="F277:G277"/>
    <mergeCell ref="H277:H283"/>
    <mergeCell ref="I277:J277"/>
    <mergeCell ref="K277:K278"/>
    <mergeCell ref="L277:M277"/>
    <mergeCell ref="N277:N278"/>
    <mergeCell ref="O277:P277"/>
    <mergeCell ref="Q277:Q278"/>
    <mergeCell ref="R277:S277"/>
    <mergeCell ref="D278:D283"/>
    <mergeCell ref="F278:F283"/>
    <mergeCell ref="G278:G283"/>
    <mergeCell ref="I280:S280"/>
    <mergeCell ref="I281:S281"/>
    <mergeCell ref="I283:S283"/>
    <mergeCell ref="B284:S284"/>
    <mergeCell ref="B285:S285"/>
    <mergeCell ref="B288:B294"/>
    <mergeCell ref="C288:C294"/>
    <mergeCell ref="E288:E294"/>
    <mergeCell ref="F288:G288"/>
    <mergeCell ref="H288:H294"/>
    <mergeCell ref="I288:J288"/>
    <mergeCell ref="K288:K289"/>
    <mergeCell ref="L288:M288"/>
    <mergeCell ref="N288:N289"/>
    <mergeCell ref="O288:P288"/>
    <mergeCell ref="Q288:Q289"/>
    <mergeCell ref="R288:S288"/>
    <mergeCell ref="D289:D294"/>
    <mergeCell ref="F289:F294"/>
    <mergeCell ref="G289:G294"/>
    <mergeCell ref="I291:S291"/>
    <mergeCell ref="I292:S292"/>
    <mergeCell ref="I294:S294"/>
    <mergeCell ref="B295:S295"/>
    <mergeCell ref="B296:S296"/>
    <mergeCell ref="B299:B305"/>
    <mergeCell ref="C299:C305"/>
    <mergeCell ref="E299:E305"/>
    <mergeCell ref="F299:G299"/>
    <mergeCell ref="H299:H305"/>
    <mergeCell ref="I299:J299"/>
    <mergeCell ref="K299:K300"/>
    <mergeCell ref="L299:M299"/>
    <mergeCell ref="N299:N300"/>
    <mergeCell ref="O299:P299"/>
    <mergeCell ref="Q299:Q300"/>
    <mergeCell ref="R299:S299"/>
    <mergeCell ref="D300:D305"/>
    <mergeCell ref="F300:F305"/>
    <mergeCell ref="G300:G305"/>
    <mergeCell ref="I302:S302"/>
    <mergeCell ref="I303:S303"/>
    <mergeCell ref="I305:S305"/>
    <mergeCell ref="B306:S306"/>
    <mergeCell ref="B307:S307"/>
    <mergeCell ref="B311:B317"/>
    <mergeCell ref="C311:C317"/>
    <mergeCell ref="E311:E317"/>
    <mergeCell ref="F311:G311"/>
    <mergeCell ref="H311:H317"/>
    <mergeCell ref="I311:J311"/>
    <mergeCell ref="K311:K312"/>
    <mergeCell ref="L311:M311"/>
    <mergeCell ref="N311:N312"/>
    <mergeCell ref="O311:P311"/>
    <mergeCell ref="Q311:Q312"/>
    <mergeCell ref="R311:S311"/>
    <mergeCell ref="D312:D317"/>
    <mergeCell ref="F312:F317"/>
    <mergeCell ref="G312:G317"/>
    <mergeCell ref="I314:S314"/>
    <mergeCell ref="I315:S315"/>
    <mergeCell ref="I317:S317"/>
    <mergeCell ref="B318:S318"/>
    <mergeCell ref="B319:S319"/>
    <mergeCell ref="B322:B328"/>
    <mergeCell ref="C322:C328"/>
    <mergeCell ref="E322:E328"/>
    <mergeCell ref="F322:G322"/>
    <mergeCell ref="H322:H328"/>
    <mergeCell ref="I322:J322"/>
    <mergeCell ref="K322:K323"/>
    <mergeCell ref="L322:M322"/>
    <mergeCell ref="N322:N323"/>
    <mergeCell ref="O322:P322"/>
    <mergeCell ref="Q322:Q323"/>
    <mergeCell ref="R322:S322"/>
    <mergeCell ref="D323:D328"/>
    <mergeCell ref="F323:F328"/>
    <mergeCell ref="G323:G328"/>
    <mergeCell ref="I325:S325"/>
    <mergeCell ref="I326:S326"/>
    <mergeCell ref="I328:S328"/>
    <mergeCell ref="B329:S329"/>
    <mergeCell ref="B330:S330"/>
    <mergeCell ref="B333:B339"/>
    <mergeCell ref="C333:C339"/>
    <mergeCell ref="E333:E339"/>
    <mergeCell ref="F333:G333"/>
    <mergeCell ref="H333:H339"/>
    <mergeCell ref="I333:J333"/>
    <mergeCell ref="K333:K334"/>
    <mergeCell ref="L333:M333"/>
    <mergeCell ref="N333:N334"/>
    <mergeCell ref="O333:P333"/>
    <mergeCell ref="Q333:Q334"/>
    <mergeCell ref="R333:S333"/>
    <mergeCell ref="D334:D339"/>
    <mergeCell ref="F334:F339"/>
    <mergeCell ref="G334:G339"/>
    <mergeCell ref="I336:S336"/>
    <mergeCell ref="I337:S337"/>
    <mergeCell ref="I339:S339"/>
    <mergeCell ref="B340:S340"/>
    <mergeCell ref="B341:S341"/>
    <mergeCell ref="B345:B351"/>
    <mergeCell ref="C345:C351"/>
    <mergeCell ref="E345:E351"/>
    <mergeCell ref="F345:G345"/>
    <mergeCell ref="H345:H351"/>
    <mergeCell ref="I345:J345"/>
    <mergeCell ref="K345:K346"/>
    <mergeCell ref="L345:M345"/>
    <mergeCell ref="N345:N346"/>
    <mergeCell ref="O345:P345"/>
    <mergeCell ref="Q345:Q346"/>
    <mergeCell ref="R345:S345"/>
    <mergeCell ref="D346:D351"/>
    <mergeCell ref="F346:F351"/>
    <mergeCell ref="G346:G351"/>
    <mergeCell ref="I348:S348"/>
    <mergeCell ref="I349:S349"/>
    <mergeCell ref="I351:S351"/>
    <mergeCell ref="B352:S352"/>
    <mergeCell ref="B353:S353"/>
    <mergeCell ref="B356:B362"/>
    <mergeCell ref="C356:C362"/>
    <mergeCell ref="E356:E362"/>
    <mergeCell ref="F356:G356"/>
    <mergeCell ref="H356:H362"/>
    <mergeCell ref="I356:J356"/>
    <mergeCell ref="K356:K357"/>
    <mergeCell ref="L356:M356"/>
    <mergeCell ref="N356:N357"/>
    <mergeCell ref="O356:P356"/>
    <mergeCell ref="Q356:Q357"/>
    <mergeCell ref="R356:S356"/>
    <mergeCell ref="D357:D362"/>
    <mergeCell ref="F357:F362"/>
    <mergeCell ref="G357:G362"/>
    <mergeCell ref="I359:S359"/>
    <mergeCell ref="I360:S360"/>
    <mergeCell ref="I362:S362"/>
    <mergeCell ref="B363:S363"/>
    <mergeCell ref="B364:S364"/>
    <mergeCell ref="B367:B373"/>
    <mergeCell ref="C367:C373"/>
    <mergeCell ref="E367:E373"/>
    <mergeCell ref="F367:G367"/>
    <mergeCell ref="H367:H373"/>
    <mergeCell ref="I367:J367"/>
    <mergeCell ref="K367:K368"/>
    <mergeCell ref="L367:M367"/>
    <mergeCell ref="N367:N368"/>
    <mergeCell ref="O367:P367"/>
    <mergeCell ref="Q367:Q368"/>
    <mergeCell ref="R367:S367"/>
    <mergeCell ref="D368:D373"/>
    <mergeCell ref="F368:F373"/>
    <mergeCell ref="G368:G373"/>
    <mergeCell ref="I370:S370"/>
    <mergeCell ref="I371:S371"/>
    <mergeCell ref="I373:S373"/>
    <mergeCell ref="B374:S374"/>
    <mergeCell ref="B375:S375"/>
    <mergeCell ref="B379:B385"/>
    <mergeCell ref="C379:C385"/>
    <mergeCell ref="E379:E385"/>
    <mergeCell ref="F379:G379"/>
    <mergeCell ref="H379:H385"/>
    <mergeCell ref="I379:J379"/>
    <mergeCell ref="K379:K380"/>
    <mergeCell ref="L379:M379"/>
    <mergeCell ref="N379:N380"/>
    <mergeCell ref="O379:P379"/>
    <mergeCell ref="Q379:Q380"/>
    <mergeCell ref="R379:S379"/>
    <mergeCell ref="D380:D385"/>
    <mergeCell ref="F380:F385"/>
    <mergeCell ref="G380:G385"/>
    <mergeCell ref="I382:S382"/>
    <mergeCell ref="I383:S383"/>
    <mergeCell ref="I385:S385"/>
    <mergeCell ref="B386:S386"/>
    <mergeCell ref="B387:S387"/>
    <mergeCell ref="B390:B396"/>
    <mergeCell ref="C390:C396"/>
    <mergeCell ref="E390:E396"/>
    <mergeCell ref="F390:G390"/>
    <mergeCell ref="H390:H396"/>
    <mergeCell ref="I390:J390"/>
    <mergeCell ref="K390:K391"/>
    <mergeCell ref="L390:M390"/>
    <mergeCell ref="N390:N391"/>
    <mergeCell ref="O390:P390"/>
    <mergeCell ref="Q390:Q391"/>
    <mergeCell ref="R390:S390"/>
    <mergeCell ref="D391:D396"/>
    <mergeCell ref="F391:F396"/>
    <mergeCell ref="G391:G396"/>
    <mergeCell ref="I393:S393"/>
    <mergeCell ref="I394:S394"/>
    <mergeCell ref="I396:S396"/>
    <mergeCell ref="B397:S397"/>
    <mergeCell ref="B398:S398"/>
    <mergeCell ref="B401:B407"/>
    <mergeCell ref="C401:C407"/>
    <mergeCell ref="E401:E407"/>
    <mergeCell ref="F401:G401"/>
    <mergeCell ref="H401:H407"/>
    <mergeCell ref="I401:J401"/>
    <mergeCell ref="K401:K402"/>
    <mergeCell ref="L401:M401"/>
    <mergeCell ref="B408:S408"/>
    <mergeCell ref="B409:S409"/>
    <mergeCell ref="N401:N402"/>
    <mergeCell ref="O401:P401"/>
    <mergeCell ref="Q401:Q402"/>
    <mergeCell ref="R401:S401"/>
    <mergeCell ref="D402:D407"/>
    <mergeCell ref="F402:F407"/>
    <mergeCell ref="G402:G407"/>
    <mergeCell ref="I404:S404"/>
    <mergeCell ref="I405:S405"/>
    <mergeCell ref="I407:S407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System</vt:lpstr>
      <vt:lpstr>Ceto</vt:lpstr>
      <vt:lpstr>Ceto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Bey, Mario</cp:lastModifiedBy>
  <dcterms:created xsi:type="dcterms:W3CDTF">2015-06-05T18:19:34Z</dcterms:created>
  <dcterms:modified xsi:type="dcterms:W3CDTF">2026-04-29T08:12:25Z</dcterms:modified>
</cp:coreProperties>
</file>